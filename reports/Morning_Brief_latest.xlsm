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orning_Agent\reports\"/>
    </mc:Choice>
  </mc:AlternateContent>
  <xr:revisionPtr revIDLastSave="0" documentId="13_ncr:1_{17F9BBDC-A213-4DD4-9A1F-A031D4C58826}" xr6:coauthVersionLast="47" xr6:coauthVersionMax="47" xr10:uidLastSave="{00000000-0000-0000-0000-000000000000}"/>
  <bookViews>
    <workbookView xWindow="-120" yWindow="-120" windowWidth="29040" windowHeight="15720" firstSheet="4" activeTab="10" xr2:uid="{00000000-000D-0000-FFFF-FFFF00000000}"/>
  </bookViews>
  <sheets>
    <sheet name="Curve_US" sheetId="53" r:id="rId1"/>
    <sheet name="Curve_CA" sheetId="54" r:id="rId2"/>
    <sheet name="FX_G10" sheetId="55" r:id="rId3"/>
    <sheet name="Calendar_Yday" sheetId="56" r:id="rId4"/>
    <sheet name="Calendar_Today" sheetId="57" r:id="rId5"/>
    <sheet name="Headlines" sheetId="58" r:id="rId6"/>
    <sheet name="Predictive_Outlook" sheetId="59" r:id="rId7"/>
    <sheet name="Rates_DV01" sheetId="60" r:id="rId8"/>
    <sheet name="FX_MM_Sim" sheetId="61" r:id="rId9"/>
    <sheet name="Desk_Commentary" sheetId="62" r:id="rId10"/>
    <sheet name="Macro_Events" sheetId="63" r:id="rId11"/>
    <sheet name="RSS_Feeds" sheetId="64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63" l="1"/>
  <c r="D2" i="64"/>
  <c r="F3" i="63"/>
  <c r="F2" i="63"/>
</calcChain>
</file>

<file path=xl/sharedStrings.xml><?xml version="1.0" encoding="utf-8"?>
<sst xmlns="http://schemas.openxmlformats.org/spreadsheetml/2006/main" count="458" uniqueCount="295">
  <si>
    <t>Tenor</t>
  </si>
  <si>
    <t>Yield (%)</t>
  </si>
  <si>
    <t>Chg (bp)</t>
  </si>
  <si>
    <t>As of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</si>
  <si>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</si>
  <si>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</si>
  <si>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</si>
  <si>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</si>
  <si>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</si>
  <si>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</si>
  <si>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</si>
  <si>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</si>
  <si>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</si>
  <si>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20Y</t>
  </si>
  <si>
    <t>30Y</t>
  </si>
  <si>
    <t>Spread</t>
  </si>
  <si>
    <t>bp</t>
  </si>
  <si>
    <t>US–CA 2Y</t>
  </si>
  <si>
    <t>US–CA 5Y</t>
  </si>
  <si>
    <t>US–CA 10Y</t>
  </si>
  <si>
    <t>Pair</t>
  </si>
  <si>
    <t>Last</t>
  </si>
  <si>
    <t>Chg (%)</t>
  </si>
  <si>
    <t>EURUSD</t>
  </si>
  <si>
    <t>2026-02-10</t>
  </si>
  <si>
    <t>GBPUSD</t>
  </si>
  <si>
    <t>AUDUSD</t>
  </si>
  <si>
    <t>NZDUSD</t>
  </si>
  <si>
    <t>USDCAD</t>
  </si>
  <si>
    <t>USDJPY</t>
  </si>
  <si>
    <t>USDCHF</t>
  </si>
  <si>
    <t>USDNOK</t>
  </si>
  <si>
    <t>2026-02-09</t>
  </si>
  <si>
    <t>USDSEK</t>
  </si>
  <si>
    <t>Headlines</t>
  </si>
  <si>
    <t>Category</t>
  </si>
  <si>
    <t>Source</t>
  </si>
  <si>
    <t>Published</t>
  </si>
  <si>
    <t>Title</t>
  </si>
  <si>
    <t>Link</t>
  </si>
  <si>
    <t>Markets</t>
  </si>
  <si>
    <t>Reuters</t>
  </si>
  <si>
    <t>2026-02-09 11:03 UTC</t>
  </si>
  <si>
    <t>US software stocks tumble sparks concerns that AI trade is reshaping markets - Reuters</t>
  </si>
  <si>
    <t>https://news.google.com/rss/articles/CBMi0AFBVV95cUxQNWU2VDZkT1E5TmdpMXF5MkRqdU0yZ2VqN29iZ0dQRUlQZFRCMjVWTktEOU9kM3dhSDJUeFQ4NVZ3aGZrQ2RtSkRZYUE0MkJleEcxbnRQTDFFN0FCdEtJUTY1eUlKY3JFd2pJcmhHRjZ1N3c5aVJoRlI1LXF2RkNkaWQyc290X0tSMHpmQVlKbDZNZ1dISDRrcmZaSW01OTZYSmQ2SjZyamV4RFV5dkRYZ3lhMUFKbkp6Q3UzTDZzNmlUazZWYU9Ra29UZGoyamp6?oc=5</t>
  </si>
  <si>
    <t>2026-02-09 04:36 UTC</t>
  </si>
  <si>
    <t>Landslide election win clears path for Japan's Takaichi to deliver tax cuts - Reuters</t>
  </si>
  <si>
    <t>https://news.google.com/rss/articles/CBMiuAFBVV95cUxQNnBEMGlLM1Q0S29DRlUzSEw3QmFnclNScDkxLUhxWUxYbzF4bWk0VlROSm54cEJDdzVPWk9RTVlybFBRdlV2Yk9VOGVCeG5qdFRLckJvRmVxUENJSlliZ05hOE1JaE8wMHNfb05mU1Flc1RxdklrV0dwZUUySzNybUYwVU9ZN1M0WXBXMHM3MF82WThrenZ1bXBkMC02R2JzUTkzSXBJRllqbGVsa3BrMTVrWXFTQWFu?oc=5</t>
  </si>
  <si>
    <t>Instant View: Japan's markets react to Takaichi's historic election victory - Reuters</t>
  </si>
  <si>
    <t>https://news.google.com/rss/articles/CBMiuAFBVV95cUxOaTVtOW1hNWtyTXNra1phbTRVRURpUkpRLWdtcWYxbHp2QTNuY1BsQ1M1RUo0bE5Bemw5YUZiSjhsd0hwUUsyemxFVUMwZWVaSnFabk5WUFJlVUkzV1BURmpURVhKa0F1eEtoTEZiYU5FNVdoWDN5U3NvUzJwTnJaT3gtSExhMUQzT0FvUDFFVXpWMlR5YlNaTERhUlplaU9qQjhzSkJiQkVrVjlmbjM1Vlo2ZEZVOThS?oc=5</t>
  </si>
  <si>
    <t>Item</t>
  </si>
  <si>
    <t>Label</t>
  </si>
  <si>
    <t>Prob</t>
  </si>
  <si>
    <t>Details</t>
  </si>
  <si>
    <t>Rates</t>
  </si>
  <si>
    <t>US</t>
  </si>
  <si>
    <t>low</t>
  </si>
  <si>
    <t>vol risk</t>
  </si>
  <si>
    <t>CA</t>
  </si>
  <si>
    <t>medium</t>
  </si>
  <si>
    <t>Events</t>
  </si>
  <si>
    <t>Overall</t>
  </si>
  <si>
    <t>high</t>
  </si>
  <si>
    <t>score 6</t>
  </si>
  <si>
    <t>FX</t>
  </si>
  <si>
    <t>fx vol risk</t>
  </si>
  <si>
    <t>Reasons</t>
  </si>
  <si>
    <t>Bucket</t>
  </si>
  <si>
    <t>Inventory ($mm)</t>
  </si>
  <si>
    <t>DV01 per $1mm</t>
  </si>
  <si>
    <t>DV01 ($/bp)</t>
  </si>
  <si>
    <t>US_2Y</t>
  </si>
  <si>
    <t>US_5Y</t>
  </si>
  <si>
    <t>US_10Y</t>
  </si>
  <si>
    <t>US_30Y</t>
  </si>
  <si>
    <t>CA_2Y</t>
  </si>
  <si>
    <t>CA_5Y</t>
  </si>
  <si>
    <t>CA_10Y</t>
  </si>
  <si>
    <t>CA_30Y</t>
  </si>
  <si>
    <t>Flow Tape Summary</t>
  </si>
  <si>
    <t>Value</t>
  </si>
  <si>
    <t>2Y_count</t>
  </si>
  <si>
    <t>5Y_count</t>
  </si>
  <si>
    <t>10Y_count</t>
  </si>
  <si>
    <t>30Y_count</t>
  </si>
  <si>
    <t>2Y_net_dv01_chg</t>
  </si>
  <si>
    <t>5Y_net_dv01_chg</t>
  </si>
  <si>
    <t>10Y_net_dv01_chg</t>
  </si>
  <si>
    <t>30Y_net_dv01_chg</t>
  </si>
  <si>
    <t>hedge_count</t>
  </si>
  <si>
    <t>peak_abs_dv01_intraday</t>
  </si>
  <si>
    <t>Metric</t>
  </si>
  <si>
    <t>net_dv01</t>
  </si>
  <si>
    <t>front_end_concentration</t>
  </si>
  <si>
    <t>stress_bp</t>
  </si>
  <si>
    <t>stress_$</t>
  </si>
  <si>
    <t>dv01_cap</t>
  </si>
  <si>
    <t>dv01_peak_abs</t>
  </si>
  <si>
    <t>hedge_count_rates</t>
  </si>
  <si>
    <t>warnings</t>
  </si>
  <si>
    <t>none</t>
  </si>
  <si>
    <t>Step</t>
  </si>
  <si>
    <t>Session</t>
  </si>
  <si>
    <t>EventWin</t>
  </si>
  <si>
    <t>p_buy</t>
  </si>
  <si>
    <t>Mid</t>
  </si>
  <si>
    <t>Spread_t</t>
  </si>
  <si>
    <t>Trades</t>
  </si>
  <si>
    <t>Inventory</t>
  </si>
  <si>
    <t>Hedged</t>
  </si>
  <si>
    <t>HedgeCost</t>
  </si>
  <si>
    <t>StepPnL</t>
  </si>
  <si>
    <t>CumPnL</t>
  </si>
  <si>
    <t>Asia</t>
  </si>
  <si>
    <t>London</t>
  </si>
  <si>
    <t>NY</t>
  </si>
  <si>
    <t>Seed</t>
  </si>
  <si>
    <t>inventory_end</t>
  </si>
  <si>
    <t>hedge_actions</t>
  </si>
  <si>
    <t>avg_spread</t>
  </si>
  <si>
    <t>liquidity_risk_label</t>
  </si>
  <si>
    <t>breached_limit</t>
  </si>
  <si>
    <t>cum_pnl</t>
  </si>
  <si>
    <t>hedge_count_asia</t>
  </si>
  <si>
    <t>hedge_count_london</t>
  </si>
  <si>
    <t>hedge_count_ny</t>
  </si>
  <si>
    <t>avg_spread_asia</t>
  </si>
  <si>
    <t>avg_spread_london</t>
  </si>
  <si>
    <t>avg_spread_ny</t>
  </si>
  <si>
    <t>event_window_pnl</t>
  </si>
  <si>
    <t>event_window_max_inv</t>
  </si>
  <si>
    <t>Slope Metrics</t>
  </si>
  <si>
    <t>US 2s10s (bp)</t>
  </si>
  <si>
    <t>US 3M10Y (bp)</t>
  </si>
  <si>
    <t>US 2s5s (bp)</t>
  </si>
  <si>
    <t>CA 2s10s (bp)</t>
  </si>
  <si>
    <t>CA 2s5s (bp)</t>
  </si>
  <si>
    <t>Date</t>
  </si>
  <si>
    <t>Region</t>
  </si>
  <si>
    <t>Event</t>
  </si>
  <si>
    <t>Time</t>
  </si>
  <si>
    <t>Risk</t>
  </si>
  <si>
    <t>Active</t>
  </si>
  <si>
    <t>Importance</t>
  </si>
  <si>
    <t>Expected</t>
  </si>
  <si>
    <t>Actual</t>
  </si>
  <si>
    <t>Prior</t>
  </si>
  <si>
    <t>Unit</t>
  </si>
  <si>
    <t>Surprise</t>
  </si>
  <si>
    <t>Min Importance</t>
  </si>
  <si>
    <t>USD, front end rates</t>
  </si>
  <si>
    <t>URL</t>
  </si>
  <si>
    <t>https://news.google.com/rss/search?q=site:reuters.com+(Fed+OR+BOC+OR+BOJ+OR+rates+OR+macroeconomics+OR+markets)+(US+OR+Canada+OR+Japan+OR+Europe+OR+UK)&amp;hl=en-US&amp;gl=US&amp;ceid=US:en</t>
  </si>
  <si>
    <t>2026-02-11</t>
  </si>
  <si>
    <t>Last Updated: 2026-02-11 13:13:09</t>
  </si>
  <si>
    <t>2026-02-11 13:43 UTC</t>
  </si>
  <si>
    <t>January jobs data bolsters case for Fed hold on rates - Reuters</t>
  </si>
  <si>
    <t>https://news.google.com/rss/articles/CBMimgFBVV95cUxQa3FiMHVLTXhSU2hqb2ZuaWhEeXVEOVlMQnRtQWxWb0xyTEFYYlFQT1kwajlsQ0dyeC1adG40X3FHM0NHcWw5aHZHeUlzRjZENDNEeEJ1ZzlKb3pObDFfbnBheFE0ejJGTEJ2SzVVMWkwVUdHOGpNenVQSzhvYTVfUVI2UnQwZmt1NmxZSHRfOHpjNnhobFZSeHNn?oc=5</t>
  </si>
  <si>
    <t>2026-02-11 10:55 UTC</t>
  </si>
  <si>
    <t>Fed to hold rates through May, but Warsh may be too loose with policy, economists say - Reuters</t>
  </si>
  <si>
    <t>https://news.google.com/rss/articles/CBMivgFBVV95cUxOSzRvcE5HeTBZZGtwTTRWVl9hY2RGZ3ZaVlhNWmNCWGlDSkh5VFdmaXlHbVRuZ1NJQXRRV1VsREFuQl9mX3huRjladGhNdm81bWxBTklkOEpTZk4zOGFIVi1wOFZPME82cUFuQzJnSTFZWXVXMm14cDZvVi1OMFQzZHVjVnVrdmZjQUNWLUdMYXBHblZkdkNfaDZDY1JCQmVHbEZ5WFRJWWRXX1BJNFAtdlhCZ1ozMmZoLWk5bjBR?oc=5</t>
  </si>
  <si>
    <t>2026-02-10 01:31 UTC</t>
  </si>
  <si>
    <t>Stocks mixed but world index hits record high; Treasury yields fall - Reuters</t>
  </si>
  <si>
    <t>https://news.google.com/rss/articles/CBMigwFBVV95cUxPQ0UzaHdISFR4d1hkWC1pTXJRSUx2T0lDYjRIX1E5Rk9BTE1zX0lfTHRJM1JGT3MtbzVkUGk5YzFYZ3pxMzBNSER3cC0tWjVqdHluc3dUTG9PakFCREQzaTNrVmRkNTFSMWhKVFpwTEhNMTVRbElPQmJzaHBtR292MFRzSQ?oc=5</t>
  </si>
  <si>
    <t>2026-02-09 13:52 UTC</t>
  </si>
  <si>
    <t>Takaichi's smooth victory may yet signal rocky ride for Japan's yen, bonds - Reuters</t>
  </si>
  <si>
    <t>https://news.google.com/rss/articles/CBMitwFBVV95cUxQYzdrbGdhbU5KdmdmcGNTbllfQWI2cGctVzNwTTVjWXd6SFNVWl84M0FuazNOR3FOdVptYXc4V19LTkxlNTdleVNJeWVDdS1LclhxYVVFOXdhRHFid1VuR050NXRLejI4Y1dfNVZ6aktNVzhBbEVJUWxkODVNSElwbmI5ZzM3TXZtU1hzX0g0Y0pIX0tLTGNrNFU3ZkJ2aUJEdjNsOTlDLVFEWkpwWkRmX2J2LWFpZlU?oc=5</t>
  </si>
  <si>
    <t>2026-02-09 02:04 UTC</t>
  </si>
  <si>
    <t>2026-02-05 21:37 UTC</t>
  </si>
  <si>
    <t>Equities sink in extended AI rout, bond yields dip, silver savaged - Reuters</t>
  </si>
  <si>
    <t>https://news.google.com/rss/articles/CBMilAFBVV95cUxPQ0REb3NYTDI0Q2hsREcyMFlmaEUyUnRZdS11ZHVLXzVPYzRwTmZiMm9yZVZ2S0IzazJIbWtHbnlhc3FWbVRlQW9fMkY0Y1VQU1doQy1mZG04cmMySjh4V1dqY19JelpxZEJTUzNmOVVYcmF3dEdHbnFrNWo2NWxOZmFyc1BUZ3J5U3BjM3ZoYnZUenN0?oc=5</t>
  </si>
  <si>
    <t>'- US: max abs daily bp move 2.0; overall event severity high; history obs=60</t>
  </si>
  <si>
    <t>'- CA: max abs daily bp move 3.0; overall event severity high; history obs=60</t>
  </si>
  <si>
    <t>'- AUDUSD: AUDUSD abs daily move 0.67% -&gt; medium threshold bucket; event bump applied 0.10</t>
  </si>
  <si>
    <t>'- EURUSD: EURUSD abs daily move 0.17% -&gt; low threshold bucket; event bump applied 0.10</t>
  </si>
  <si>
    <t>'- GBPUSD: GBPUSD abs daily move 0.27% -&gt; low threshold bucket; event bump applied 0.10</t>
  </si>
  <si>
    <t>'- NZDUSD: NZDUSD abs daily move 0.05% -&gt; low threshold bucket; event bump applied 0.10</t>
  </si>
  <si>
    <t>'- USDCAD: USDCAD abs daily move 0.71% -&gt; medium threshold bucket; event bump applied 0.10</t>
  </si>
  <si>
    <t>'- USDCHF: USDCHF abs daily move 1.12% -&gt; high threshold bucket; event bump applied 0.10</t>
  </si>
  <si>
    <t>'- USDJPY: USDJPY abs daily move 0.71% -&gt; medium threshold bucket; event bump applied 0.10</t>
  </si>
  <si>
    <t>'- USDNOK: USDNOK abs daily move 1.04% -&gt; high threshold bucket; event bump applied 0.10</t>
  </si>
  <si>
    <t>'- USDSEK: USDSEK abs daily move 0.87% -&gt; high threshold bucket; event bump applied 0.10</t>
  </si>
  <si>
    <t>'- Event: US Non-Farm Employment Change 08:30:00 score=6 (high)</t>
  </si>
  <si>
    <t>'- Event: JP Unemployment rate 08:30:00 score=6 (high)</t>
  </si>
  <si>
    <t>'- Event: US Average Hourly Earnings 08:30:00 score=4 (medium)</t>
  </si>
  <si>
    <t>Regime Persistence Stats</t>
  </si>
  <si>
    <t>Current 2s10s (bp)</t>
  </si>
  <si>
    <t>Z-score level (w=60/60)</t>
  </si>
  <si>
    <t>Z-score change (w=60/60)</t>
  </si>
  <si>
    <t>Vol ratio (short/long)</t>
  </si>
  <si>
    <t>Vol state</t>
  </si>
  <si>
    <t>LOW</t>
  </si>
  <si>
    <t>Regime bucket</t>
  </si>
  <si>
    <t>NORMAL</t>
  </si>
  <si>
    <t>Transition rate (w=60/60)</t>
  </si>
  <si>
    <t>Persistence probability (w=60/60)</t>
  </si>
  <si>
    <t>Confidence</t>
  </si>
  <si>
    <t>HIGH</t>
  </si>
  <si>
    <t>Last Updated</t>
  </si>
  <si>
    <t>2026-02-11 13:13:21</t>
  </si>
  <si>
    <t>Slope Interpretation</t>
  </si>
  <si>
    <t>'- US curve normal (2s10s = 74 bp).</t>
  </si>
  <si>
    <t>'- US 3M–10Y is positive (53 bp).</t>
  </si>
  <si>
    <t>'- Canada curve normal (2s10s = 83 bp).</t>
  </si>
  <si>
    <t>'- Canada 3M–10Y is positive (117 bp).</t>
  </si>
  <si>
    <t>'- US 2s10s stable vs prior (+2 bp).</t>
  </si>
  <si>
    <t>'- Canada 2s10s stable vs prior (-2 bp).</t>
  </si>
  <si>
    <t>'- US and Canada 2s10s slopes are broadly similar.</t>
  </si>
  <si>
    <t>Rates Regime Tags</t>
  </si>
  <si>
    <t>US_RATES_REGIME: US_NORMAL_STABLE_MIXED</t>
  </si>
  <si>
    <t>CA_RATES_REGIME: CA_NORMAL_STABLE_MIXED</t>
  </si>
  <si>
    <t>Rates Interpretation</t>
  </si>
  <si>
    <t>'- US curve: normal (2s10s 74 bp).</t>
  </si>
  <si>
    <t>'- US curve momentum: stable (+2 bp vs prior).</t>
  </si>
  <si>
    <t>'- US daily move type: Bear Steepening.</t>
  </si>
  <si>
    <t>'- US driver: Mixed-led.</t>
  </si>
  <si>
    <t>'- Canada curve: normal (2s10s 83 bp).</t>
  </si>
  <si>
    <t>'- Canada curve momentum: stable (-2 bp vs prior).</t>
  </si>
  <si>
    <t>'- Canada daily move type: Bear Flattening.</t>
  </si>
  <si>
    <t>'- Canada driver: Mixed-led.</t>
  </si>
  <si>
    <t>'- US vs Canada: 2s10s slopes broadly similar.</t>
  </si>
  <si>
    <t>FX Interpretation</t>
  </si>
  <si>
    <t>'- FX: Top movers (abs daily %): USDCHF -1.12%, USDNOK -1.04%, USDSEK -0.87%.</t>
  </si>
  <si>
    <t>'- FX: Broad USD tone is softer (more USD-down pairs).</t>
  </si>
  <si>
    <t>Macro Calendar / Event Risk</t>
  </si>
  <si>
    <t>'- (3) US 08:30:00 — Average Hourly Earnings | USD, front end rates | Act 0.40% vs Exp 0.30% | Surprise: +0.10%</t>
  </si>
  <si>
    <t>'- (3) US 08:30:00 — Non-Farm Employment Change | USD, front end rates | Act 130000.00 vs Exp 66000.00 | Surprise: +64000.00</t>
  </si>
  <si>
    <t>'- (3) JP 08:30:00 — Unemployment rate | USD, front end rates | Act 4.30 vs Exp 4.40 | Surprise: -0.10</t>
  </si>
  <si>
    <t>'- [Markets] January jobs data bolsters case for Fed hold on rates - Reuters (Reuters)</t>
  </si>
  <si>
    <t>'- [Markets] Fed to hold rates through May, but Warsh may be too loose with policy, economists say - Reuters (Reuters)</t>
  </si>
  <si>
    <t>'- [Markets] Stocks mixed but world index hits record high; Treasury yields fall - Reuters (Reuters)</t>
  </si>
  <si>
    <t>'- [Markets] Takaichi's smooth victory may yet signal rocky ride for Japan's yen, bonds - Reuters (Reuters)</t>
  </si>
  <si>
    <t>'- [Markets] US software stocks tumble sparks concerns that AI trade is reshaping markets - Reuters (Reuters)</t>
  </si>
  <si>
    <t>'- [Markets] Landslide election win clears path for Japan's Takaichi to deliver tax cuts - Reuters (Reuters)</t>
  </si>
  <si>
    <t>'- [Markets] Instant View: Japan's markets react to Takaichi's historic election victory - Reuters (Reuters)</t>
  </si>
  <si>
    <t>'- [Markets] Equities sink in extended AI rout, bond yields dip, silver savaged - Reuters (Reuters)</t>
  </si>
  <si>
    <t>What changed vs yesterday</t>
  </si>
  <si>
    <t>'- Macro events (active): 3 (yday 3, Δ 0)</t>
  </si>
  <si>
    <t>'- US rates regime: US_RATES_REGIME: US_NORMAL_STABLE_MIXED (streak 20d)</t>
  </si>
  <si>
    <t>'- CA rates regime: CA_RATES_REGIME: CA_NORMAL_STABLE_MIXED (streak 20d)</t>
  </si>
  <si>
    <t>'- FX top movers: unchanged format/line.</t>
  </si>
  <si>
    <t>Predictive Outlook</t>
  </si>
  <si>
    <t>'- Event severity: high (score 6).</t>
  </si>
  <si>
    <t>'- Rates vol risk: US low, CA medium; FX max high.</t>
  </si>
  <si>
    <t>'- Regime persistence is probability-weighted and confidence-labeled.</t>
  </si>
  <si>
    <t>'- Regime stats: US z=1.26 (Δz=-0.14), vol=LOW, persistence=1.00 (conf=HIGH).</t>
  </si>
  <si>
    <t>'- Regime stats: CA z=0.24 (Δz=-0.08), vol=LOW, persistence=1.00 (conf=HIGH).</t>
  </si>
  <si>
    <t>Rates DV01</t>
  </si>
  <si>
    <t>'- Net DV01: -1680 $/bp; Stress (5bp): ~$15,000.</t>
  </si>
  <si>
    <t>'- Front-end concentration: 0.03.</t>
  </si>
  <si>
    <t>'- Flow tape: 48 tickets; hedged 13 times; peak DV01 3000.</t>
  </si>
  <si>
    <t>'- Event severity: high.</t>
  </si>
  <si>
    <t>FX MM Simulation</t>
  </si>
  <si>
    <t>'- USDCAD: Asia/London/NY sessions active; event window=active.</t>
  </si>
  <si>
    <t>'- Hedges by session: Asia 3, London 7, NY 5.</t>
  </si>
  <si>
    <t>'- Inventory end=-3; liquidity=high.</t>
  </si>
  <si>
    <t>'- Deterministic (date+pair|fx_mm) seed.</t>
  </si>
  <si>
    <t>'- Average spread: 2.2 pips (0.00022); Inventory limit breached.</t>
  </si>
  <si>
    <t>'- Event window impact: pnl 9.1, max inv 3.</t>
  </si>
  <si>
    <t>Risk State:</t>
  </si>
  <si>
    <t>'- Event severity: High (score=6) - Overall event severity is high.</t>
  </si>
  <si>
    <t>'- Vol regime: Rates US low / CA medium; FX high</t>
  </si>
  <si>
    <t>'- Regime persistence: US 1.00; CA 1.00</t>
  </si>
  <si>
    <t>Rates:</t>
  </si>
  <si>
    <t>'- Net DV01: -1680 $/bp; Stress (5bp): ~$15,000</t>
  </si>
  <si>
    <t>'- Front-end concentration: 0.03</t>
  </si>
  <si>
    <t>'- Key triggers: front-end repricing beyond threshold; surprise vs consensus</t>
  </si>
  <si>
    <t>FX / Liquidity:</t>
  </si>
  <si>
    <t>'- Top movers: 'USDCHF -1.12%, USDNOK -1.04%, USDSEK -0.87%.</t>
  </si>
  <si>
    <t>'- MM sim (USDCAD): vol=high; hedges=15; liquidity=HIGH</t>
  </si>
  <si>
    <t>'- Deterministic (date+pair) seed</t>
  </si>
  <si>
    <t>'- Average spread: 2.2 pips (0.00022); Inventory limit breached</t>
  </si>
  <si>
    <t>Calendar:</t>
  </si>
  <si>
    <t>'- Overall event severity is high.</t>
  </si>
  <si>
    <t>'- Top macro releases should be treated as volatility catalysts rather than directional forecasts.</t>
  </si>
  <si>
    <t>'- Execution timing should avoid clustered releases where possible.</t>
  </si>
  <si>
    <t>Headlines (top 5):</t>
  </si>
  <si>
    <t>'- January jobs data bolsters case for Fed hold on rates - Reuters</t>
  </si>
  <si>
    <t>'- Fed to hold rates through May, but Warsh may be too loose with policy, economists say - Reuters</t>
  </si>
  <si>
    <t>'- Stocks mixed but world index hits record high; Treasury yields fall - Reuters</t>
  </si>
  <si>
    <t>'- Takaichi's smooth victory may yet signal rocky ride for Japan's yen, bonds - Reuters</t>
  </si>
  <si>
    <t>'- US software stocks tumble sparks concerns that AI trade is reshaping markets - Reuters</t>
  </si>
  <si>
    <t>Trade Ideas:</t>
  </si>
  <si>
    <t>'- NO TRADE (risk high). Watchlist only.</t>
  </si>
  <si>
    <t>Flows &amp; Microstructure:</t>
  </si>
  <si>
    <t>'- FX flows: Asia hedges 3, London hedges 7, NY hedges 5; spreads (pips) A/L/NY=2.1 pips/1.5 pips/2.5 pips.</t>
  </si>
  <si>
    <t>'- Event window widened microstructure: window pnl 9.1, max inv 3.</t>
  </si>
  <si>
    <t>'- Rates flows: front-end share 0.79; hedged 13 times; peak DV01 3000.</t>
  </si>
  <si>
    <t>Average Hourly Earnings</t>
  </si>
  <si>
    <t>%</t>
  </si>
  <si>
    <t>Non-Farm Employment Change</t>
  </si>
  <si>
    <t>Unemployment rate</t>
  </si>
  <si>
    <t>Morning Note</t>
  </si>
  <si>
    <t>CPI</t>
  </si>
  <si>
    <t>CAD, front end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</si>
</sst>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"/>
    <numFmt numFmtId="166" formatCode="0.0000"/>
    <numFmt numFmtId="167" formatCode="0.00000"/>
  </numFmts>
  <fonts count="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FFFF"/>
      <name val="Aptos Narrow"/>
      <family val="2"/>
    </font>
    <font>
      <b/>
      <sz val="11"/>
      <name val="Aptos Narrow"/>
      <family val="2"/>
    </font>
    <font>
      <sz val="11"/>
      <color rgb="FFFFFFFF"/>
      <name val="Aptos Narrow"/>
      <family val="2"/>
      <scheme val="minor"/>
    </font>
    <font>
      <b/>
      <sz val="20"/>
      <color rgb="FFFFFFFF"/>
      <name val="Aptos Narrow"/>
      <family val="2"/>
    </font>
    <font>
      <b/>
      <sz val="11"/>
      <color rgb="FFFFFFF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FFFFFF"/>
      </left>
      <right style="thin">
        <color rgb="FFFFFFFF"/>
      </right>
      <top style="medium">
        <color rgb="FFFFFFFF"/>
      </top>
      <bottom/>
      <diagonal/>
    </border>
    <border>
      <left style="thin">
        <color rgb="FFFFFFFF"/>
      </left>
      <right style="thin">
        <color rgb="FFFFFFFF"/>
      </right>
      <top style="medium">
        <color rgb="FFFFFFFF"/>
      </top>
      <bottom/>
      <diagonal/>
    </border>
    <border>
      <left style="thin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thin">
        <color rgb="FFFFFFFF"/>
      </right>
      <top/>
      <bottom style="medium">
        <color rgb="FFFFFFFF"/>
      </bottom>
      <diagonal/>
    </border>
    <border>
      <left style="thin">
        <color rgb="FFFFFFFF"/>
      </left>
      <right style="thin">
        <color rgb="FFFFFFFF"/>
      </right>
      <top/>
      <bottom style="medium">
        <color rgb="FFFFFFFF"/>
      </bottom>
      <diagonal/>
    </border>
    <border>
      <left style="thin">
        <color rgb="FFFFFFFF"/>
      </left>
      <right style="medium">
        <color rgb="FFFFFFFF"/>
      </right>
      <top/>
      <bottom style="medium">
        <color rgb="FFFFFFFF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20" fontId="0" fillId="0" borderId="0" xfId="0" applyNumberFormat="1"/>
    <xf numFmtId="164" fontId="0" fillId="0" borderId="0" xfId="0" applyNumberFormat="1"/>
    <xf numFmtId="0" fontId="1" fillId="0" borderId="0" xfId="0" applyFont="1"/>
    <xf numFmtId="0" fontId="0" fillId="0" borderId="1" xfId="0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167" fontId="0" fillId="0" borderId="1" xfId="0" applyNumberFormat="1" applyBorder="1" applyAlignment="1">
      <alignment horizontal="left" vertical="center"/>
    </xf>
    <xf numFmtId="3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2" fontId="2" fillId="2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4" fillId="3" borderId="0" xfId="0" applyFont="1" applyFill="1"/>
    <xf numFmtId="0" fontId="4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165" fontId="4" fillId="3" borderId="1" xfId="0" applyNumberFormat="1" applyFont="1" applyFill="1" applyBorder="1" applyAlignment="1">
      <alignment horizontal="left" vertical="center"/>
    </xf>
    <xf numFmtId="0" fontId="4" fillId="3" borderId="0" xfId="0" quotePrefix="1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6" xfId="0" applyFont="1" applyFill="1" applyBorder="1"/>
    <xf numFmtId="0" fontId="4" fillId="3" borderId="5" xfId="0" applyFont="1" applyFill="1" applyBorder="1"/>
    <xf numFmtId="0" fontId="4" fillId="3" borderId="7" xfId="0" applyFont="1" applyFill="1" applyBorder="1"/>
    <xf numFmtId="0" fontId="4" fillId="3" borderId="8" xfId="0" applyFont="1" applyFill="1" applyBorder="1"/>
    <xf numFmtId="0" fontId="4" fillId="3" borderId="9" xfId="0" applyFont="1" applyFill="1" applyBorder="1"/>
    <xf numFmtId="0" fontId="4" fillId="3" borderId="9" xfId="0" applyFont="1" applyFill="1" applyBorder="1" applyAlignment="1">
      <alignment horizontal="left" vertical="center"/>
    </xf>
    <xf numFmtId="0" fontId="4" fillId="3" borderId="1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5</xdr:row>
      <xdr:rowOff>0</xdr:rowOff>
    </xdr:to>
    <xdr:pic>
      <xdr:nvPicPr>
        <xdr:cNvPr id="3" name="RBC_LOGO">
          <a:extLst>
            <a:ext uri="{FF2B5EF4-FFF2-40B4-BE49-F238E27FC236}">
              <a16:creationId xmlns:a16="http://schemas.microsoft.com/office/drawing/2014/main" id="{C4C13A96-D5A8-AB6B-9866-7EA1B8D12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190500"/>
          <a:ext cx="1000125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769FD-3929-4B98-A25A-16D42122268E}">
  <sheetPr codeName="Sheet1"/>
  <dimension ref="A1:D12"/>
  <sheetViews>
    <sheetView workbookViewId="0">
      <pane ySplit="1" topLeftCell="A2" activePane="bottomLeft" state="frozen"/>
      <selection pane="bottomLeft" activeCell="C22" sqref="C22"/>
    </sheetView>
  </sheetViews>
  <sheetFormatPr defaultRowHeight="15" x14ac:dyDescent="0.25"/>
  <cols>
    <col min="1" max="1" width="10" customWidth="1"/>
    <col min="2" max="2" width="11" customWidth="1"/>
    <col min="3" max="3" width="21" customWidth="1"/>
    <col min="4" max="4" width="12" customWidth="1"/>
  </cols>
  <sheetData>
    <row r="1" spans="1:4" x14ac:dyDescent="0.25">
      <c r="A1" s="12" t="s">
        <v>0</v>
      </c>
      <c r="B1" s="12" t="s">
        <v>1</v>
      </c>
      <c r="C1" s="12" t="s">
        <v>2</v>
      </c>
      <c r="D1" s="12" t="s">
        <v>3</v>
      </c>
    </row>
    <row r="2" spans="1:4" x14ac:dyDescent="0.25">
      <c r="A2" s="5" t="s">
        <v>4</v>
      </c>
      <c r="B2" s="6">
        <v>3.72</v>
      </c>
      <c r="C2" s="7">
        <v>0</v>
      </c>
      <c r="D2" s="5" t="s">
        <v>32</v>
      </c>
    </row>
    <row r="3" spans="1:4" x14ac:dyDescent="0.25">
      <c r="A3" s="5" t="s">
        <v>5</v>
      </c>
      <c r="B3" s="6">
        <v>3.69</v>
      </c>
      <c r="C3" s="7">
        <v>0.99999999999997868</v>
      </c>
      <c r="D3" s="5" t="s">
        <v>32</v>
      </c>
    </row>
    <row r="4" spans="1:4" x14ac:dyDescent="0.25">
      <c r="A4" s="5" t="s">
        <v>6</v>
      </c>
      <c r="B4" s="6">
        <v>3.59</v>
      </c>
      <c r="C4" s="7">
        <v>0</v>
      </c>
      <c r="D4" s="5" t="s">
        <v>32</v>
      </c>
    </row>
    <row r="5" spans="1:4" x14ac:dyDescent="0.25">
      <c r="A5" s="5" t="s">
        <v>7</v>
      </c>
      <c r="B5" s="6">
        <v>3.43</v>
      </c>
      <c r="C5" s="7">
        <v>-2.0000000000000022</v>
      </c>
      <c r="D5" s="5" t="s">
        <v>32</v>
      </c>
    </row>
    <row r="6" spans="1:4" x14ac:dyDescent="0.25">
      <c r="A6" s="5" t="s">
        <v>8</v>
      </c>
      <c r="B6" s="6">
        <v>3.48</v>
      </c>
      <c r="C6" s="7">
        <v>-2.0000000000000022</v>
      </c>
      <c r="D6" s="5" t="s">
        <v>32</v>
      </c>
    </row>
    <row r="7" spans="1:4" x14ac:dyDescent="0.25">
      <c r="A7" s="5" t="s">
        <v>9</v>
      </c>
      <c r="B7" s="6">
        <v>3.56</v>
      </c>
      <c r="C7" s="7">
        <v>-0.99999999999997868</v>
      </c>
      <c r="D7" s="5" t="s">
        <v>32</v>
      </c>
    </row>
    <row r="8" spans="1:4" x14ac:dyDescent="0.25">
      <c r="A8" s="5" t="s">
        <v>10</v>
      </c>
      <c r="B8" s="6">
        <v>3.75</v>
      </c>
      <c r="C8" s="7">
        <v>-0.99999999999997868</v>
      </c>
      <c r="D8" s="5" t="s">
        <v>32</v>
      </c>
    </row>
    <row r="9" spans="1:4" x14ac:dyDescent="0.25">
      <c r="A9" s="5" t="s">
        <v>11</v>
      </c>
      <c r="B9" s="6">
        <v>3.97</v>
      </c>
      <c r="C9" s="7">
        <v>-0.99999999999997868</v>
      </c>
      <c r="D9" s="5" t="s">
        <v>32</v>
      </c>
    </row>
    <row r="10" spans="1:4" x14ac:dyDescent="0.25">
      <c r="A10" s="5" t="s">
        <v>12</v>
      </c>
      <c r="B10" s="6">
        <v>4.22</v>
      </c>
      <c r="C10" s="7">
        <v>0</v>
      </c>
      <c r="D10" s="5" t="s">
        <v>32</v>
      </c>
    </row>
    <row r="11" spans="1:4" x14ac:dyDescent="0.25">
      <c r="A11" s="5" t="s">
        <v>13</v>
      </c>
      <c r="B11" s="6">
        <v>4.79</v>
      </c>
      <c r="C11" s="7">
        <v>-0.99999999999997868</v>
      </c>
      <c r="D11" s="5" t="s">
        <v>32</v>
      </c>
    </row>
    <row r="12" spans="1:4" x14ac:dyDescent="0.25">
      <c r="A12" s="5" t="s">
        <v>14</v>
      </c>
      <c r="B12" s="6">
        <v>4.8499999999999996</v>
      </c>
      <c r="C12" s="7">
        <v>0</v>
      </c>
      <c r="D12" s="5" t="s">
        <v>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7BE5-E783-4DAF-9258-94355ADB110C}">
  <sheetPr codeName="Sheet2"/>
  <dimension ref="A1:D15"/>
  <sheetViews>
    <sheetView workbookViewId="0">
      <pane ySplit="1" topLeftCell="A2" activePane="bottomLeft" state="frozen"/>
      <selection pane="bottomLeft" activeCell="A16" sqref="A16"/>
    </sheetView>
  </sheetViews>
  <sheetFormatPr defaultRowHeight="15" x14ac:dyDescent="0.25"/>
  <cols>
    <col min="1" max="1" width="11" customWidth="1"/>
    <col min="2" max="2" width="19" customWidth="1"/>
    <col min="3" max="3" width="21" customWidth="1"/>
    <col min="4" max="4" width="12" customWidth="1"/>
  </cols>
  <sheetData>
    <row r="1" spans="1:4" x14ac:dyDescent="0.25">
      <c r="A1" s="12" t="s">
        <v>0</v>
      </c>
      <c r="B1" s="12" t="s">
        <v>1</v>
      </c>
      <c r="C1" s="12" t="s">
        <v>2</v>
      </c>
      <c r="D1" s="12" t="s">
        <v>3</v>
      </c>
    </row>
    <row r="2" spans="1:4" x14ac:dyDescent="0.25">
      <c r="A2" s="5" t="s">
        <v>5</v>
      </c>
      <c r="B2" s="6">
        <v>2.19</v>
      </c>
      <c r="C2" s="7">
        <v>0</v>
      </c>
      <c r="D2" s="5" t="s">
        <v>24</v>
      </c>
    </row>
    <row r="3" spans="1:4" x14ac:dyDescent="0.25">
      <c r="A3" s="5" t="s">
        <v>6</v>
      </c>
      <c r="B3" s="6">
        <v>2.25</v>
      </c>
      <c r="C3" s="7">
        <v>-0.99999999999997868</v>
      </c>
      <c r="D3" s="5" t="s">
        <v>24</v>
      </c>
    </row>
    <row r="4" spans="1:4" x14ac:dyDescent="0.25">
      <c r="A4" s="5" t="s">
        <v>7</v>
      </c>
      <c r="B4" s="6">
        <v>2.35</v>
      </c>
      <c r="C4" s="7">
        <v>-2.99999999999998</v>
      </c>
      <c r="D4" s="5" t="s">
        <v>24</v>
      </c>
    </row>
    <row r="5" spans="1:4" x14ac:dyDescent="0.25">
      <c r="A5" s="5" t="s">
        <v>8</v>
      </c>
      <c r="B5" s="6">
        <v>2.5299999999999998</v>
      </c>
      <c r="C5" s="7">
        <v>-1.0000000000000231</v>
      </c>
      <c r="D5" s="5" t="s">
        <v>24</v>
      </c>
    </row>
    <row r="6" spans="1:4" x14ac:dyDescent="0.25">
      <c r="A6" s="5" t="s">
        <v>9</v>
      </c>
      <c r="B6" s="6">
        <v>2.46</v>
      </c>
      <c r="C6" s="7">
        <v>0</v>
      </c>
      <c r="D6" s="5" t="s">
        <v>24</v>
      </c>
    </row>
    <row r="7" spans="1:4" x14ac:dyDescent="0.25">
      <c r="A7" s="5" t="s">
        <v>10</v>
      </c>
      <c r="B7" s="6">
        <v>2.89</v>
      </c>
      <c r="C7" s="7">
        <v>-0.99999999999997868</v>
      </c>
      <c r="D7" s="5" t="s">
        <v>24</v>
      </c>
    </row>
    <row r="8" spans="1:4" x14ac:dyDescent="0.25">
      <c r="A8" s="5" t="s">
        <v>11</v>
      </c>
      <c r="B8" s="6">
        <v>3.03</v>
      </c>
      <c r="C8" s="7">
        <v>-2.0000000000000022</v>
      </c>
      <c r="D8" s="5" t="s">
        <v>24</v>
      </c>
    </row>
    <row r="9" spans="1:4" x14ac:dyDescent="0.25">
      <c r="A9" s="5" t="s">
        <v>12</v>
      </c>
      <c r="B9" s="6">
        <v>3.36</v>
      </c>
      <c r="C9" s="7">
        <v>-3.0000000000000249</v>
      </c>
      <c r="D9" s="5" t="s">
        <v>24</v>
      </c>
    </row>
    <row r="12" spans="1:4" x14ac:dyDescent="0.25">
      <c r="A12" s="12" t="s">
        <v>15</v>
      </c>
      <c r="B12" s="12" t="s">
        <v>16</v>
      </c>
    </row>
    <row r="13" spans="1:4" x14ac:dyDescent="0.25">
      <c r="A13" s="5" t="s">
        <v>17</v>
      </c>
      <c r="B13" s="7">
        <v>95.000000000000014</v>
      </c>
    </row>
    <row r="14" spans="1:4" x14ac:dyDescent="0.25">
      <c r="A14" s="5" t="s">
        <v>18</v>
      </c>
      <c r="B14" s="7">
        <v>85.999999999999986</v>
      </c>
    </row>
    <row r="15" spans="1:4" x14ac:dyDescent="0.25">
      <c r="A15" s="5" t="s">
        <v>19</v>
      </c>
      <c r="B15" s="7">
        <v>85.999999999999986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2A966-C67B-4102-8DAF-00EAC7CFA7EF}">
  <sheetPr codeName="Sheet3"/>
  <dimension ref="A1:D10"/>
  <sheetViews>
    <sheetView workbookViewId="0">
      <pane ySplit="1" topLeftCell="A2" activePane="bottomLeft" state="frozen"/>
      <selection pane="bottomLeft" activeCell="C20" sqref="C20"/>
    </sheetView>
  </sheetViews>
  <sheetFormatPr defaultRowHeight="15" x14ac:dyDescent="0.25"/>
  <cols>
    <col min="1" max="1" width="10" customWidth="1"/>
    <col min="2" max="2" width="20" customWidth="1"/>
    <col min="3" max="3" width="21" customWidth="1"/>
    <col min="4" max="4" width="12" customWidth="1"/>
  </cols>
  <sheetData>
    <row r="1" spans="1:4" x14ac:dyDescent="0.25">
      <c r="A1" s="12" t="s">
        <v>20</v>
      </c>
      <c r="B1" s="12" t="s">
        <v>21</v>
      </c>
      <c r="C1" s="12" t="s">
        <v>22</v>
      </c>
      <c r="D1" s="12" t="s">
        <v>3</v>
      </c>
    </row>
    <row r="2" spans="1:4" x14ac:dyDescent="0.25">
      <c r="A2" s="5" t="s">
        <v>23</v>
      </c>
      <c r="B2" s="8">
        <v>1.1883541345596309</v>
      </c>
      <c r="C2" s="6">
        <v>-0.17231392759590181</v>
      </c>
      <c r="D2" s="5" t="s">
        <v>153</v>
      </c>
    </row>
    <row r="3" spans="1:4" x14ac:dyDescent="0.25">
      <c r="A3" s="5" t="s">
        <v>25</v>
      </c>
      <c r="B3" s="8">
        <v>1.3646101951599121</v>
      </c>
      <c r="C3" s="6">
        <v>-0.27292745712247379</v>
      </c>
      <c r="D3" s="5" t="s">
        <v>153</v>
      </c>
    </row>
    <row r="4" spans="1:4" x14ac:dyDescent="0.25">
      <c r="A4" s="5" t="s">
        <v>26</v>
      </c>
      <c r="B4" s="8">
        <v>0.71311414241790771</v>
      </c>
      <c r="C4" s="6">
        <v>0.67117934115625832</v>
      </c>
      <c r="D4" s="5" t="s">
        <v>153</v>
      </c>
    </row>
    <row r="5" spans="1:4" x14ac:dyDescent="0.25">
      <c r="A5" s="5" t="s">
        <v>27</v>
      </c>
      <c r="B5" s="8">
        <v>0.60558348894119263</v>
      </c>
      <c r="C5" s="6">
        <v>5.026144518789355E-2</v>
      </c>
      <c r="D5" s="5" t="s">
        <v>153</v>
      </c>
    </row>
    <row r="6" spans="1:4" x14ac:dyDescent="0.25">
      <c r="A6" s="5" t="s">
        <v>28</v>
      </c>
      <c r="B6" s="8">
        <v>1.356220006942749</v>
      </c>
      <c r="C6" s="6">
        <v>-0.70796469445228993</v>
      </c>
      <c r="D6" s="5" t="s">
        <v>24</v>
      </c>
    </row>
    <row r="7" spans="1:4" x14ac:dyDescent="0.25">
      <c r="A7" s="5" t="s">
        <v>29</v>
      </c>
      <c r="B7" s="8">
        <v>156.13200378417969</v>
      </c>
      <c r="C7" s="6">
        <v>-0.70718087075550828</v>
      </c>
      <c r="D7" s="5" t="s">
        <v>24</v>
      </c>
    </row>
    <row r="8" spans="1:4" x14ac:dyDescent="0.25">
      <c r="A8" s="5" t="s">
        <v>30</v>
      </c>
      <c r="B8" s="8">
        <v>0.76712000370025635</v>
      </c>
      <c r="C8" s="6">
        <v>-1.1226644321294279</v>
      </c>
      <c r="D8" s="5" t="s">
        <v>24</v>
      </c>
    </row>
    <row r="9" spans="1:4" x14ac:dyDescent="0.25">
      <c r="A9" s="5" t="s">
        <v>31</v>
      </c>
      <c r="B9" s="8">
        <v>9.577549934387207</v>
      </c>
      <c r="C9" s="6">
        <v>-1.0436502939389469</v>
      </c>
      <c r="D9" s="5" t="s">
        <v>24</v>
      </c>
    </row>
    <row r="10" spans="1:4" x14ac:dyDescent="0.25">
      <c r="A10" s="5" t="s">
        <v>33</v>
      </c>
      <c r="B10" s="8">
        <v>8.9207401275634766</v>
      </c>
      <c r="C10" s="6">
        <v>-0.8739428333084609</v>
      </c>
      <c r="D10" s="5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4CDCB-2CAC-4574-AB16-EC80FDE9FFD9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6A89A-E448-4060-9A10-D54D072A3B0B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0081D-DDC8-4E55-8C30-88DB70B1CA3F}">
  <sheetPr codeName="Sheet6"/>
  <dimension ref="A1:E12"/>
  <sheetViews>
    <sheetView workbookViewId="0">
      <pane ySplit="4" topLeftCell="A5" activePane="bottomLeft" state="frozen"/>
      <selection pane="bottomLeft" activeCell="W14" sqref="W14"/>
    </sheetView>
  </sheetViews>
  <sheetFormatPr defaultRowHeight="15" x14ac:dyDescent="0.25"/>
  <cols>
    <col min="1" max="1" width="35" customWidth="1"/>
    <col min="2" max="2" width="10" customWidth="1"/>
    <col min="3" max="3" width="22" customWidth="1"/>
    <col min="4" max="5" width="45" customWidth="1"/>
  </cols>
  <sheetData>
    <row r="1" spans="1:5" x14ac:dyDescent="0.25">
      <c r="A1" s="13" t="s">
        <v>34</v>
      </c>
    </row>
    <row r="2" spans="1:5" x14ac:dyDescent="0.25">
      <c r="A2" s="1" t="s">
        <v>154</v>
      </c>
    </row>
    <row r="4" spans="1:5" x14ac:dyDescent="0.25">
      <c r="A4" s="12" t="s">
        <v>35</v>
      </c>
      <c r="B4" s="12" t="s">
        <v>36</v>
      </c>
      <c r="C4" s="12" t="s">
        <v>37</v>
      </c>
      <c r="D4" s="12" t="s">
        <v>38</v>
      </c>
      <c r="E4" s="12" t="s">
        <v>39</v>
      </c>
    </row>
    <row r="5" spans="1:5" x14ac:dyDescent="0.25">
      <c r="A5" s="5" t="s">
        <v>40</v>
      </c>
      <c r="B5" s="5" t="s">
        <v>41</v>
      </c>
      <c r="C5" s="5" t="s">
        <v>155</v>
      </c>
      <c r="D5" s="5" t="s">
        <v>156</v>
      </c>
      <c r="E5" s="5" t="s">
        <v>157</v>
      </c>
    </row>
    <row r="6" spans="1:5" x14ac:dyDescent="0.25">
      <c r="A6" s="5" t="s">
        <v>40</v>
      </c>
      <c r="B6" s="5" t="s">
        <v>41</v>
      </c>
      <c r="C6" s="5" t="s">
        <v>158</v>
      </c>
      <c r="D6" s="5" t="s">
        <v>159</v>
      </c>
      <c r="E6" s="5" t="s">
        <v>160</v>
      </c>
    </row>
    <row r="7" spans="1:5" x14ac:dyDescent="0.25">
      <c r="A7" s="5" t="s">
        <v>40</v>
      </c>
      <c r="B7" s="5" t="s">
        <v>41</v>
      </c>
      <c r="C7" s="5" t="s">
        <v>161</v>
      </c>
      <c r="D7" s="5" t="s">
        <v>162</v>
      </c>
      <c r="E7" s="5" t="s">
        <v>163</v>
      </c>
    </row>
    <row r="8" spans="1:5" x14ac:dyDescent="0.25">
      <c r="A8" s="5" t="s">
        <v>40</v>
      </c>
      <c r="B8" s="5" t="s">
        <v>41</v>
      </c>
      <c r="C8" s="5" t="s">
        <v>164</v>
      </c>
      <c r="D8" s="5" t="s">
        <v>165</v>
      </c>
      <c r="E8" s="5" t="s">
        <v>166</v>
      </c>
    </row>
    <row r="9" spans="1:5" x14ac:dyDescent="0.25">
      <c r="A9" s="5" t="s">
        <v>40</v>
      </c>
      <c r="B9" s="5" t="s">
        <v>41</v>
      </c>
      <c r="C9" s="5" t="s">
        <v>42</v>
      </c>
      <c r="D9" s="5" t="s">
        <v>43</v>
      </c>
      <c r="E9" s="5" t="s">
        <v>44</v>
      </c>
    </row>
    <row r="10" spans="1:5" x14ac:dyDescent="0.25">
      <c r="A10" s="5" t="s">
        <v>40</v>
      </c>
      <c r="B10" s="5" t="s">
        <v>41</v>
      </c>
      <c r="C10" s="5" t="s">
        <v>45</v>
      </c>
      <c r="D10" s="5" t="s">
        <v>46</v>
      </c>
      <c r="E10" s="5" t="s">
        <v>47</v>
      </c>
    </row>
    <row r="11" spans="1:5" x14ac:dyDescent="0.25">
      <c r="A11" s="5" t="s">
        <v>40</v>
      </c>
      <c r="B11" s="5" t="s">
        <v>41</v>
      </c>
      <c r="C11" s="5" t="s">
        <v>167</v>
      </c>
      <c r="D11" s="5" t="s">
        <v>48</v>
      </c>
      <c r="E11" s="5" t="s">
        <v>49</v>
      </c>
    </row>
    <row r="12" spans="1:5" x14ac:dyDescent="0.25">
      <c r="A12" s="5" t="s">
        <v>40</v>
      </c>
      <c r="B12" s="5" t="s">
        <v>41</v>
      </c>
      <c r="C12" s="5" t="s">
        <v>168</v>
      </c>
      <c r="D12" s="5" t="s">
        <v>169</v>
      </c>
      <c r="E12" s="5" t="s">
        <v>170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B904D-156E-4251-8F0A-C0388BF62D3F}">
  <sheetPr codeName="Sheet7"/>
  <dimension ref="A1:E41"/>
  <sheetViews>
    <sheetView workbookViewId="0">
      <pane ySplit="1" topLeftCell="A2" activePane="bottomLeft" state="frozen"/>
      <selection pane="bottomLeft" activeCell="M7" sqref="M7"/>
    </sheetView>
  </sheetViews>
  <sheetFormatPr defaultRowHeight="15" x14ac:dyDescent="0.25"/>
  <cols>
    <col min="1" max="1" width="10" bestFit="1" customWidth="1"/>
    <col min="2" max="4" width="10" customWidth="1"/>
    <col min="5" max="5" width="13" customWidth="1"/>
  </cols>
  <sheetData>
    <row r="1" spans="1:5" x14ac:dyDescent="0.25">
      <c r="A1" s="12" t="s">
        <v>35</v>
      </c>
      <c r="B1" s="12" t="s">
        <v>50</v>
      </c>
      <c r="C1" s="12" t="s">
        <v>51</v>
      </c>
      <c r="D1" s="12" t="s">
        <v>52</v>
      </c>
      <c r="E1" s="12" t="s">
        <v>53</v>
      </c>
    </row>
    <row r="2" spans="1:5" x14ac:dyDescent="0.25">
      <c r="A2" s="5" t="s">
        <v>54</v>
      </c>
      <c r="B2" s="5" t="s">
        <v>55</v>
      </c>
      <c r="C2" s="5" t="s">
        <v>56</v>
      </c>
      <c r="D2" s="6">
        <v>0.35</v>
      </c>
      <c r="E2" s="5" t="s">
        <v>57</v>
      </c>
    </row>
    <row r="3" spans="1:5" x14ac:dyDescent="0.25">
      <c r="A3" s="5" t="s">
        <v>54</v>
      </c>
      <c r="B3" s="5" t="s">
        <v>58</v>
      </c>
      <c r="C3" s="5" t="s">
        <v>59</v>
      </c>
      <c r="D3" s="6">
        <v>0.6</v>
      </c>
      <c r="E3" s="5" t="s">
        <v>57</v>
      </c>
    </row>
    <row r="4" spans="1:5" x14ac:dyDescent="0.25">
      <c r="A4" s="5" t="s">
        <v>60</v>
      </c>
      <c r="B4" s="5" t="s">
        <v>61</v>
      </c>
      <c r="C4" s="5" t="s">
        <v>62</v>
      </c>
      <c r="D4" s="6">
        <v>0.75</v>
      </c>
      <c r="E4" s="5" t="s">
        <v>63</v>
      </c>
    </row>
    <row r="5" spans="1:5" x14ac:dyDescent="0.25">
      <c r="A5" s="5" t="s">
        <v>64</v>
      </c>
      <c r="B5" s="5" t="s">
        <v>26</v>
      </c>
      <c r="C5" s="5" t="s">
        <v>59</v>
      </c>
      <c r="D5" s="6">
        <v>0.6</v>
      </c>
      <c r="E5" s="5" t="s">
        <v>65</v>
      </c>
    </row>
    <row r="6" spans="1:5" x14ac:dyDescent="0.25">
      <c r="A6" s="5" t="s">
        <v>64</v>
      </c>
      <c r="B6" s="5" t="s">
        <v>23</v>
      </c>
      <c r="C6" s="5" t="s">
        <v>56</v>
      </c>
      <c r="D6" s="6">
        <v>0.35</v>
      </c>
      <c r="E6" s="5" t="s">
        <v>65</v>
      </c>
    </row>
    <row r="7" spans="1:5" x14ac:dyDescent="0.25">
      <c r="A7" s="5" t="s">
        <v>64</v>
      </c>
      <c r="B7" s="5" t="s">
        <v>25</v>
      </c>
      <c r="C7" s="5" t="s">
        <v>56</v>
      </c>
      <c r="D7" s="6">
        <v>0.35</v>
      </c>
      <c r="E7" s="5" t="s">
        <v>65</v>
      </c>
    </row>
    <row r="8" spans="1:5" x14ac:dyDescent="0.25">
      <c r="A8" s="5" t="s">
        <v>64</v>
      </c>
      <c r="B8" s="5" t="s">
        <v>27</v>
      </c>
      <c r="C8" s="5" t="s">
        <v>56</v>
      </c>
      <c r="D8" s="6">
        <v>0.35</v>
      </c>
      <c r="E8" s="5" t="s">
        <v>65</v>
      </c>
    </row>
    <row r="9" spans="1:5" x14ac:dyDescent="0.25">
      <c r="A9" s="5" t="s">
        <v>64</v>
      </c>
      <c r="B9" s="5" t="s">
        <v>28</v>
      </c>
      <c r="C9" s="5" t="s">
        <v>59</v>
      </c>
      <c r="D9" s="6">
        <v>0.6</v>
      </c>
      <c r="E9" s="5" t="s">
        <v>65</v>
      </c>
    </row>
    <row r="10" spans="1:5" x14ac:dyDescent="0.25">
      <c r="A10" s="5" t="s">
        <v>64</v>
      </c>
      <c r="B10" s="5" t="s">
        <v>30</v>
      </c>
      <c r="C10" s="5" t="s">
        <v>62</v>
      </c>
      <c r="D10" s="6">
        <v>0.85</v>
      </c>
      <c r="E10" s="5" t="s">
        <v>65</v>
      </c>
    </row>
    <row r="11" spans="1:5" x14ac:dyDescent="0.25">
      <c r="A11" s="5" t="s">
        <v>64</v>
      </c>
      <c r="B11" s="5" t="s">
        <v>29</v>
      </c>
      <c r="C11" s="5" t="s">
        <v>59</v>
      </c>
      <c r="D11" s="6">
        <v>0.6</v>
      </c>
      <c r="E11" s="5" t="s">
        <v>65</v>
      </c>
    </row>
    <row r="12" spans="1:5" x14ac:dyDescent="0.25">
      <c r="A12" s="5" t="s">
        <v>64</v>
      </c>
      <c r="B12" s="5" t="s">
        <v>31</v>
      </c>
      <c r="C12" s="5" t="s">
        <v>62</v>
      </c>
      <c r="D12" s="6">
        <v>0.85</v>
      </c>
      <c r="E12" s="5" t="s">
        <v>65</v>
      </c>
    </row>
    <row r="13" spans="1:5" x14ac:dyDescent="0.25">
      <c r="A13" s="5" t="s">
        <v>64</v>
      </c>
      <c r="B13" s="5" t="s">
        <v>33</v>
      </c>
      <c r="C13" s="5" t="s">
        <v>62</v>
      </c>
      <c r="D13" s="6">
        <v>0.85</v>
      </c>
      <c r="E13" s="5" t="s">
        <v>65</v>
      </c>
    </row>
    <row r="15" spans="1:5" x14ac:dyDescent="0.25">
      <c r="A15" s="13" t="s">
        <v>66</v>
      </c>
    </row>
    <row r="16" spans="1:5" x14ac:dyDescent="0.25">
      <c r="A16" s="1" t="s">
        <v>171</v>
      </c>
    </row>
    <row r="17" spans="1:3" x14ac:dyDescent="0.25">
      <c r="A17" s="1" t="s">
        <v>172</v>
      </c>
    </row>
    <row r="18" spans="1:3" x14ac:dyDescent="0.25">
      <c r="A18" s="1" t="s">
        <v>173</v>
      </c>
    </row>
    <row r="19" spans="1:3" x14ac:dyDescent="0.25">
      <c r="A19" s="1" t="s">
        <v>174</v>
      </c>
    </row>
    <row r="20" spans="1:3" x14ac:dyDescent="0.25">
      <c r="A20" s="1" t="s">
        <v>175</v>
      </c>
    </row>
    <row r="21" spans="1:3" x14ac:dyDescent="0.25">
      <c r="A21" s="1" t="s">
        <v>176</v>
      </c>
    </row>
    <row r="22" spans="1:3" x14ac:dyDescent="0.25">
      <c r="A22" s="1" t="s">
        <v>177</v>
      </c>
    </row>
    <row r="23" spans="1:3" x14ac:dyDescent="0.25">
      <c r="A23" s="1" t="s">
        <v>178</v>
      </c>
    </row>
    <row r="24" spans="1:3" x14ac:dyDescent="0.25">
      <c r="A24" s="1" t="s">
        <v>179</v>
      </c>
    </row>
    <row r="25" spans="1:3" x14ac:dyDescent="0.25">
      <c r="A25" s="1" t="s">
        <v>180</v>
      </c>
    </row>
    <row r="26" spans="1:3" x14ac:dyDescent="0.25">
      <c r="A26" s="1" t="s">
        <v>181</v>
      </c>
    </row>
    <row r="27" spans="1:3" x14ac:dyDescent="0.25">
      <c r="A27" s="1" t="s">
        <v>182</v>
      </c>
    </row>
    <row r="28" spans="1:3" x14ac:dyDescent="0.25">
      <c r="A28" s="13" t="s">
        <v>183</v>
      </c>
    </row>
    <row r="29" spans="1:3" x14ac:dyDescent="0.25">
      <c r="A29" s="14" t="s">
        <v>184</v>
      </c>
      <c r="B29" s="12"/>
      <c r="C29" s="12"/>
    </row>
    <row r="30" spans="1:3" x14ac:dyDescent="0.25">
      <c r="A30" s="5"/>
      <c r="B30" s="6"/>
      <c r="C30" s="6"/>
    </row>
    <row r="31" spans="1:3" x14ac:dyDescent="0.25">
      <c r="A31" s="15" t="s">
        <v>185</v>
      </c>
      <c r="B31" s="6"/>
      <c r="C31" s="6"/>
    </row>
    <row r="32" spans="1:3" x14ac:dyDescent="0.25">
      <c r="A32" s="12" t="s">
        <v>91</v>
      </c>
      <c r="B32" s="16" t="s">
        <v>55</v>
      </c>
      <c r="C32" s="16" t="s">
        <v>58</v>
      </c>
    </row>
    <row r="33" spans="1:3" x14ac:dyDescent="0.25">
      <c r="A33" s="5" t="s">
        <v>186</v>
      </c>
      <c r="B33" s="6">
        <v>73.999999999999972</v>
      </c>
      <c r="C33" s="6">
        <v>83</v>
      </c>
    </row>
    <row r="34" spans="1:3" x14ac:dyDescent="0.25">
      <c r="A34" s="5" t="s">
        <v>187</v>
      </c>
      <c r="B34" s="6">
        <v>1.257751403864235</v>
      </c>
      <c r="C34" s="6">
        <v>0.2440050996154883</v>
      </c>
    </row>
    <row r="35" spans="1:3" x14ac:dyDescent="0.25">
      <c r="A35" s="5" t="s">
        <v>188</v>
      </c>
      <c r="B35" s="6">
        <v>-0.1395437689594852</v>
      </c>
      <c r="C35" s="6">
        <v>-7.8014104314482718E-2</v>
      </c>
    </row>
    <row r="36" spans="1:3" x14ac:dyDescent="0.25">
      <c r="A36" s="5" t="s">
        <v>189</v>
      </c>
      <c r="B36" s="6">
        <v>0.79169611439237619</v>
      </c>
      <c r="C36" s="6">
        <v>0.7675933280695264</v>
      </c>
    </row>
    <row r="37" spans="1:3" x14ac:dyDescent="0.25">
      <c r="A37" s="5" t="s">
        <v>190</v>
      </c>
      <c r="B37" s="6" t="s">
        <v>191</v>
      </c>
      <c r="C37" s="6" t="s">
        <v>191</v>
      </c>
    </row>
    <row r="38" spans="1:3" x14ac:dyDescent="0.25">
      <c r="A38" s="5" t="s">
        <v>192</v>
      </c>
      <c r="B38" s="6" t="s">
        <v>193</v>
      </c>
      <c r="C38" s="6" t="s">
        <v>193</v>
      </c>
    </row>
    <row r="39" spans="1:3" x14ac:dyDescent="0.25">
      <c r="A39" s="5" t="s">
        <v>194</v>
      </c>
      <c r="B39" s="6">
        <v>0</v>
      </c>
      <c r="C39" s="6">
        <v>0</v>
      </c>
    </row>
    <row r="40" spans="1:3" x14ac:dyDescent="0.25">
      <c r="A40" s="5" t="s">
        <v>195</v>
      </c>
      <c r="B40" s="6">
        <v>1</v>
      </c>
      <c r="C40" s="6">
        <v>1</v>
      </c>
    </row>
    <row r="41" spans="1:3" x14ac:dyDescent="0.25">
      <c r="A41" s="5" t="s">
        <v>196</v>
      </c>
      <c r="B41" s="6" t="s">
        <v>197</v>
      </c>
      <c r="C41" s="6" t="s">
        <v>197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D2FD-965F-4611-9230-79CE8CD8FB4E}">
  <sheetPr codeName="Sheet8"/>
  <dimension ref="A1:D3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" customWidth="1"/>
    <col min="2" max="2" width="21" customWidth="1"/>
    <col min="3" max="3" width="15" customWidth="1"/>
    <col min="4" max="4" width="13" customWidth="1"/>
  </cols>
  <sheetData>
    <row r="1" spans="1:4" x14ac:dyDescent="0.25">
      <c r="A1" s="12" t="s">
        <v>67</v>
      </c>
      <c r="B1" s="12" t="s">
        <v>68</v>
      </c>
      <c r="C1" s="12" t="s">
        <v>69</v>
      </c>
      <c r="D1" s="12" t="s">
        <v>70</v>
      </c>
    </row>
    <row r="2" spans="1:4" x14ac:dyDescent="0.25">
      <c r="A2" s="5" t="s">
        <v>71</v>
      </c>
      <c r="B2" s="7">
        <v>12</v>
      </c>
      <c r="C2" s="9">
        <v>200</v>
      </c>
      <c r="D2" s="9">
        <v>2400</v>
      </c>
    </row>
    <row r="3" spans="1:4" x14ac:dyDescent="0.25">
      <c r="A3" s="5" t="s">
        <v>72</v>
      </c>
      <c r="B3" s="7">
        <v>2</v>
      </c>
      <c r="C3" s="9">
        <v>450</v>
      </c>
      <c r="D3" s="9">
        <v>900</v>
      </c>
    </row>
    <row r="4" spans="1:4" x14ac:dyDescent="0.25">
      <c r="A4" s="5" t="s">
        <v>73</v>
      </c>
      <c r="B4" s="7">
        <v>3.71764705882353</v>
      </c>
      <c r="C4" s="9">
        <v>850</v>
      </c>
      <c r="D4" s="9">
        <v>3160</v>
      </c>
    </row>
    <row r="5" spans="1:4" x14ac:dyDescent="0.25">
      <c r="A5" s="5" t="s">
        <v>74</v>
      </c>
      <c r="B5" s="7">
        <v>-9</v>
      </c>
      <c r="C5" s="9">
        <v>1600</v>
      </c>
      <c r="D5" s="9">
        <v>-14400</v>
      </c>
    </row>
    <row r="6" spans="1:4" x14ac:dyDescent="0.25">
      <c r="A6" s="5" t="s">
        <v>75</v>
      </c>
      <c r="B6" s="7">
        <v>-6</v>
      </c>
      <c r="C6" s="9">
        <v>180</v>
      </c>
      <c r="D6" s="9">
        <v>-1080</v>
      </c>
    </row>
    <row r="7" spans="1:4" x14ac:dyDescent="0.25">
      <c r="A7" s="5" t="s">
        <v>76</v>
      </c>
      <c r="B7" s="7">
        <v>-3</v>
      </c>
      <c r="C7" s="9">
        <v>420</v>
      </c>
      <c r="D7" s="9">
        <v>-1260</v>
      </c>
    </row>
    <row r="8" spans="1:4" x14ac:dyDescent="0.25">
      <c r="A8" s="5" t="s">
        <v>77</v>
      </c>
      <c r="B8" s="7">
        <v>-4.25</v>
      </c>
      <c r="C8" s="9">
        <v>800</v>
      </c>
      <c r="D8" s="9">
        <v>-3400</v>
      </c>
    </row>
    <row r="9" spans="1:4" x14ac:dyDescent="0.25">
      <c r="A9" s="5" t="s">
        <v>78</v>
      </c>
      <c r="B9" s="7">
        <v>8</v>
      </c>
      <c r="C9" s="9">
        <v>1500</v>
      </c>
      <c r="D9" s="9">
        <v>12000</v>
      </c>
    </row>
    <row r="12" spans="1:4" x14ac:dyDescent="0.25">
      <c r="A12" s="12" t="s">
        <v>79</v>
      </c>
      <c r="B12" s="12" t="s">
        <v>80</v>
      </c>
    </row>
    <row r="13" spans="1:4" x14ac:dyDescent="0.25">
      <c r="A13" s="5" t="s">
        <v>81</v>
      </c>
      <c r="B13" s="6">
        <v>26</v>
      </c>
    </row>
    <row r="14" spans="1:4" x14ac:dyDescent="0.25">
      <c r="A14" s="5" t="s">
        <v>82</v>
      </c>
      <c r="B14" s="6">
        <v>12</v>
      </c>
    </row>
    <row r="15" spans="1:4" x14ac:dyDescent="0.25">
      <c r="A15" s="5" t="s">
        <v>83</v>
      </c>
      <c r="B15" s="6">
        <v>3</v>
      </c>
    </row>
    <row r="16" spans="1:4" x14ac:dyDescent="0.25">
      <c r="A16" s="5" t="s">
        <v>84</v>
      </c>
      <c r="B16" s="6">
        <v>7</v>
      </c>
    </row>
    <row r="17" spans="1:2" x14ac:dyDescent="0.25">
      <c r="A17" s="5" t="s">
        <v>85</v>
      </c>
      <c r="B17" s="6">
        <v>-40</v>
      </c>
    </row>
    <row r="18" spans="1:2" x14ac:dyDescent="0.25">
      <c r="A18" s="5" t="s">
        <v>86</v>
      </c>
      <c r="B18" s="6">
        <v>-360</v>
      </c>
    </row>
    <row r="19" spans="1:2" x14ac:dyDescent="0.25">
      <c r="A19" s="5" t="s">
        <v>87</v>
      </c>
      <c r="B19" s="6">
        <v>-2450</v>
      </c>
    </row>
    <row r="20" spans="1:2" x14ac:dyDescent="0.25">
      <c r="A20" s="5" t="s">
        <v>88</v>
      </c>
      <c r="B20" s="6">
        <v>-2400</v>
      </c>
    </row>
    <row r="21" spans="1:2" x14ac:dyDescent="0.25">
      <c r="A21" s="5" t="s">
        <v>89</v>
      </c>
      <c r="B21" s="6">
        <v>13</v>
      </c>
    </row>
    <row r="22" spans="1:2" x14ac:dyDescent="0.25">
      <c r="A22" s="5" t="s">
        <v>90</v>
      </c>
      <c r="B22" s="6">
        <v>3000</v>
      </c>
    </row>
    <row r="24" spans="1:2" x14ac:dyDescent="0.25">
      <c r="A24" s="12" t="s">
        <v>91</v>
      </c>
      <c r="B24" s="12" t="s">
        <v>80</v>
      </c>
    </row>
    <row r="25" spans="1:2" x14ac:dyDescent="0.25">
      <c r="A25" s="5" t="s">
        <v>92</v>
      </c>
      <c r="B25" s="6">
        <v>-1680</v>
      </c>
    </row>
    <row r="26" spans="1:2" x14ac:dyDescent="0.25">
      <c r="A26" s="5" t="s">
        <v>93</v>
      </c>
      <c r="B26" s="6">
        <v>3.4196891191709843E-2</v>
      </c>
    </row>
    <row r="27" spans="1:2" x14ac:dyDescent="0.25">
      <c r="A27" s="5" t="s">
        <v>94</v>
      </c>
      <c r="B27" s="6">
        <v>5</v>
      </c>
    </row>
    <row r="28" spans="1:2" x14ac:dyDescent="0.25">
      <c r="A28" s="5" t="s">
        <v>95</v>
      </c>
      <c r="B28" s="6">
        <v>15000</v>
      </c>
    </row>
    <row r="29" spans="1:2" x14ac:dyDescent="0.25">
      <c r="A29" s="5" t="s">
        <v>96</v>
      </c>
      <c r="B29" s="6">
        <v>3000</v>
      </c>
    </row>
    <row r="30" spans="1:2" x14ac:dyDescent="0.25">
      <c r="A30" s="5" t="s">
        <v>97</v>
      </c>
      <c r="B30" s="6">
        <v>3000</v>
      </c>
    </row>
    <row r="31" spans="1:2" x14ac:dyDescent="0.25">
      <c r="A31" s="5" t="s">
        <v>98</v>
      </c>
      <c r="B31" s="6">
        <v>13</v>
      </c>
    </row>
    <row r="32" spans="1:2" x14ac:dyDescent="0.25">
      <c r="A32" s="5" t="s">
        <v>99</v>
      </c>
      <c r="B32" s="6" t="s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3C0FB-8714-4760-90F5-6C6E5B5064A0}">
  <sheetPr codeName="Sheet9"/>
  <dimension ref="A1:L70"/>
  <sheetViews>
    <sheetView workbookViewId="0">
      <pane ySplit="1" topLeftCell="A2" activePane="bottomLeft" state="frozen"/>
      <selection pane="bottomLeft" activeCell="F2" sqref="F2"/>
    </sheetView>
  </sheetViews>
  <sheetFormatPr defaultRowHeight="15" x14ac:dyDescent="0.25"/>
  <cols>
    <col min="1" max="3" width="10" customWidth="1"/>
    <col min="4" max="4" width="21" customWidth="1"/>
    <col min="5" max="5" width="20" customWidth="1"/>
    <col min="6" max="6" width="24" customWidth="1"/>
    <col min="7" max="7" width="10" customWidth="1"/>
    <col min="8" max="8" width="11" customWidth="1"/>
    <col min="9" max="9" width="10" customWidth="1"/>
    <col min="10" max="10" width="20" customWidth="1"/>
    <col min="11" max="11" width="22" customWidth="1"/>
    <col min="12" max="12" width="20" customWidth="1"/>
  </cols>
  <sheetData>
    <row r="1" spans="1:12" x14ac:dyDescent="0.25">
      <c r="A1" s="12" t="s">
        <v>101</v>
      </c>
      <c r="B1" s="12" t="s">
        <v>102</v>
      </c>
      <c r="C1" s="12" t="s">
        <v>103</v>
      </c>
      <c r="D1" s="12" t="s">
        <v>104</v>
      </c>
      <c r="E1" s="12" t="s">
        <v>105</v>
      </c>
      <c r="F1" s="12" t="s">
        <v>106</v>
      </c>
      <c r="G1" s="12" t="s">
        <v>107</v>
      </c>
      <c r="H1" s="12" t="s">
        <v>108</v>
      </c>
      <c r="I1" s="12" t="s">
        <v>109</v>
      </c>
      <c r="J1" s="12" t="s">
        <v>110</v>
      </c>
      <c r="K1" s="12" t="s">
        <v>111</v>
      </c>
      <c r="L1" s="12" t="s">
        <v>112</v>
      </c>
    </row>
    <row r="2" spans="1:12" x14ac:dyDescent="0.25">
      <c r="A2" s="5">
        <v>1</v>
      </c>
      <c r="B2" s="5" t="s">
        <v>113</v>
      </c>
      <c r="C2" s="9">
        <v>0</v>
      </c>
      <c r="D2" s="6">
        <v>0.5</v>
      </c>
      <c r="E2" s="10">
        <v>1.3559887953298591</v>
      </c>
      <c r="F2" s="10">
        <v>1.95E-4</v>
      </c>
      <c r="G2" s="9">
        <v>1</v>
      </c>
      <c r="H2" s="9">
        <v>2</v>
      </c>
      <c r="I2" s="9">
        <v>0</v>
      </c>
      <c r="J2" s="7">
        <v>0</v>
      </c>
      <c r="K2" s="7">
        <v>1.95</v>
      </c>
      <c r="L2" s="7">
        <v>1.95</v>
      </c>
    </row>
    <row r="3" spans="1:12" x14ac:dyDescent="0.25">
      <c r="A3" s="5">
        <v>2</v>
      </c>
      <c r="B3" s="5" t="s">
        <v>113</v>
      </c>
      <c r="C3" s="9">
        <v>0</v>
      </c>
      <c r="D3" s="6">
        <v>0.41666666666666669</v>
      </c>
      <c r="E3" s="10">
        <v>1.3559446544132421</v>
      </c>
      <c r="F3" s="10">
        <v>2.1775000000000001E-4</v>
      </c>
      <c r="G3" s="9">
        <v>1</v>
      </c>
      <c r="H3" s="9">
        <v>1</v>
      </c>
      <c r="I3" s="9">
        <v>0</v>
      </c>
      <c r="J3" s="7">
        <v>0</v>
      </c>
      <c r="K3" s="7">
        <v>1.0887500000000001</v>
      </c>
      <c r="L3" s="7">
        <v>3.0387499999999998</v>
      </c>
    </row>
    <row r="4" spans="1:12" x14ac:dyDescent="0.25">
      <c r="A4" s="5">
        <v>3</v>
      </c>
      <c r="B4" s="5" t="s">
        <v>113</v>
      </c>
      <c r="C4" s="9">
        <v>0</v>
      </c>
      <c r="D4" s="6">
        <v>0.45833333333333331</v>
      </c>
      <c r="E4" s="10">
        <v>1.355840317956978</v>
      </c>
      <c r="F4" s="10">
        <v>2.0637499999999999E-4</v>
      </c>
      <c r="G4" s="9">
        <v>1</v>
      </c>
      <c r="H4" s="9">
        <v>3</v>
      </c>
      <c r="I4" s="9">
        <v>0</v>
      </c>
      <c r="J4" s="7">
        <v>0</v>
      </c>
      <c r="K4" s="7">
        <v>2.0637500000000002</v>
      </c>
      <c r="L4" s="7">
        <v>5.1025000000000009</v>
      </c>
    </row>
    <row r="5" spans="1:12" x14ac:dyDescent="0.25">
      <c r="A5" s="5">
        <v>4</v>
      </c>
      <c r="B5" s="5" t="s">
        <v>113</v>
      </c>
      <c r="C5" s="9">
        <v>0</v>
      </c>
      <c r="D5" s="6">
        <v>0.375</v>
      </c>
      <c r="E5" s="10">
        <v>1.3573984656162881</v>
      </c>
      <c r="F5" s="10">
        <v>2.29125E-4</v>
      </c>
      <c r="G5" s="9">
        <v>1</v>
      </c>
      <c r="H5" s="9">
        <v>0</v>
      </c>
      <c r="I5" s="9">
        <v>1</v>
      </c>
      <c r="J5" s="7">
        <v>3.2936718749999998</v>
      </c>
      <c r="K5" s="7">
        <v>-1.002421875</v>
      </c>
      <c r="L5" s="7">
        <v>4.1000781250000014</v>
      </c>
    </row>
    <row r="6" spans="1:12" x14ac:dyDescent="0.25">
      <c r="A6" s="5">
        <v>5</v>
      </c>
      <c r="B6" s="5" t="s">
        <v>113</v>
      </c>
      <c r="C6" s="9">
        <v>0</v>
      </c>
      <c r="D6" s="6">
        <v>0.5</v>
      </c>
      <c r="E6" s="10">
        <v>1.3582143249964249</v>
      </c>
      <c r="F6" s="10">
        <v>1.95E-4</v>
      </c>
      <c r="G6" s="9">
        <v>1</v>
      </c>
      <c r="H6" s="9">
        <v>1</v>
      </c>
      <c r="I6" s="9">
        <v>0</v>
      </c>
      <c r="J6" s="7">
        <v>0</v>
      </c>
      <c r="K6" s="7">
        <v>0.97500000000000009</v>
      </c>
      <c r="L6" s="7">
        <v>5.075078125000001</v>
      </c>
    </row>
    <row r="7" spans="1:12" x14ac:dyDescent="0.25">
      <c r="A7" s="5">
        <v>6</v>
      </c>
      <c r="B7" s="5" t="s">
        <v>113</v>
      </c>
      <c r="C7" s="9">
        <v>0</v>
      </c>
      <c r="D7" s="6">
        <v>0.45833333333333331</v>
      </c>
      <c r="E7" s="10">
        <v>1.35868823253423</v>
      </c>
      <c r="F7" s="10">
        <v>2.0637499999999999E-4</v>
      </c>
      <c r="G7" s="9">
        <v>1</v>
      </c>
      <c r="H7" s="9">
        <v>3</v>
      </c>
      <c r="I7" s="9">
        <v>0</v>
      </c>
      <c r="J7" s="7">
        <v>0</v>
      </c>
      <c r="K7" s="7">
        <v>2.0637500000000002</v>
      </c>
      <c r="L7" s="7">
        <v>7.1388281250000016</v>
      </c>
    </row>
    <row r="8" spans="1:12" x14ac:dyDescent="0.25">
      <c r="A8" s="5">
        <v>7</v>
      </c>
      <c r="B8" s="5" t="s">
        <v>113</v>
      </c>
      <c r="C8" s="9">
        <v>0</v>
      </c>
      <c r="D8" s="6">
        <v>0.375</v>
      </c>
      <c r="E8" s="10">
        <v>1.3586733834078959</v>
      </c>
      <c r="F8" s="10">
        <v>2.29125E-4</v>
      </c>
      <c r="G8" s="9">
        <v>1</v>
      </c>
      <c r="H8" s="9">
        <v>0</v>
      </c>
      <c r="I8" s="9">
        <v>1</v>
      </c>
      <c r="J8" s="7">
        <v>3.2936718749999998</v>
      </c>
      <c r="K8" s="7">
        <v>-1.002421875</v>
      </c>
      <c r="L8" s="7">
        <v>6.1364062500000021</v>
      </c>
    </row>
    <row r="9" spans="1:12" x14ac:dyDescent="0.25">
      <c r="A9" s="5">
        <v>8</v>
      </c>
      <c r="B9" s="5" t="s">
        <v>113</v>
      </c>
      <c r="C9" s="9">
        <v>0</v>
      </c>
      <c r="D9" s="6">
        <v>0.5</v>
      </c>
      <c r="E9" s="10">
        <v>1.3585111158497489</v>
      </c>
      <c r="F9" s="10">
        <v>1.95E-4</v>
      </c>
      <c r="G9" s="9">
        <v>1</v>
      </c>
      <c r="H9" s="9">
        <v>2</v>
      </c>
      <c r="I9" s="9">
        <v>0</v>
      </c>
      <c r="J9" s="7">
        <v>0</v>
      </c>
      <c r="K9" s="7">
        <v>1.95</v>
      </c>
      <c r="L9" s="7">
        <v>8.0864062500000031</v>
      </c>
    </row>
    <row r="10" spans="1:12" x14ac:dyDescent="0.25">
      <c r="A10" s="5">
        <v>9</v>
      </c>
      <c r="B10" s="5" t="s">
        <v>113</v>
      </c>
      <c r="C10" s="9">
        <v>0</v>
      </c>
      <c r="D10" s="6">
        <v>0.41666666666666669</v>
      </c>
      <c r="E10" s="10">
        <v>1.359317238642942</v>
      </c>
      <c r="F10" s="10">
        <v>2.1775000000000001E-4</v>
      </c>
      <c r="G10" s="9">
        <v>1</v>
      </c>
      <c r="H10" s="9">
        <v>1</v>
      </c>
      <c r="I10" s="9">
        <v>0</v>
      </c>
      <c r="J10" s="7">
        <v>0</v>
      </c>
      <c r="K10" s="7">
        <v>1.0887500000000001</v>
      </c>
      <c r="L10" s="7">
        <v>9.1751562500000041</v>
      </c>
    </row>
    <row r="11" spans="1:12" x14ac:dyDescent="0.25">
      <c r="A11" s="5">
        <v>10</v>
      </c>
      <c r="B11" s="5" t="s">
        <v>113</v>
      </c>
      <c r="C11" s="9">
        <v>0</v>
      </c>
      <c r="D11" s="6">
        <v>0.45833333333333331</v>
      </c>
      <c r="E11" s="10">
        <v>1.359360620482611</v>
      </c>
      <c r="F11" s="10">
        <v>2.0637499999999999E-4</v>
      </c>
      <c r="G11" s="9">
        <v>1</v>
      </c>
      <c r="H11" s="9">
        <v>2</v>
      </c>
      <c r="I11" s="9">
        <v>0</v>
      </c>
      <c r="J11" s="7">
        <v>0</v>
      </c>
      <c r="K11" s="7">
        <v>1.0318750000000001</v>
      </c>
      <c r="L11" s="7">
        <v>10.20703125</v>
      </c>
    </row>
    <row r="12" spans="1:12" x14ac:dyDescent="0.25">
      <c r="A12" s="5">
        <v>11</v>
      </c>
      <c r="B12" s="5" t="s">
        <v>113</v>
      </c>
      <c r="C12" s="9">
        <v>0</v>
      </c>
      <c r="D12" s="6">
        <v>0.41666666666666669</v>
      </c>
      <c r="E12" s="10">
        <v>1.3584203692106429</v>
      </c>
      <c r="F12" s="10">
        <v>2.1775000000000001E-4</v>
      </c>
      <c r="G12" s="9">
        <v>1</v>
      </c>
      <c r="H12" s="9">
        <v>3</v>
      </c>
      <c r="I12" s="9">
        <v>0</v>
      </c>
      <c r="J12" s="7">
        <v>0</v>
      </c>
      <c r="K12" s="7">
        <v>1.0887500000000001</v>
      </c>
      <c r="L12" s="7">
        <v>11.295781249999999</v>
      </c>
    </row>
    <row r="13" spans="1:12" x14ac:dyDescent="0.25">
      <c r="A13" s="5">
        <v>12</v>
      </c>
      <c r="B13" s="5" t="s">
        <v>113</v>
      </c>
      <c r="C13" s="9">
        <v>0</v>
      </c>
      <c r="D13" s="6">
        <v>0.375</v>
      </c>
      <c r="E13" s="10">
        <v>1.3585823651629161</v>
      </c>
      <c r="F13" s="10">
        <v>2.29125E-4</v>
      </c>
      <c r="G13" s="9">
        <v>1</v>
      </c>
      <c r="H13" s="9">
        <v>0</v>
      </c>
      <c r="I13" s="9">
        <v>1</v>
      </c>
      <c r="J13" s="7">
        <v>3.2936718749999998</v>
      </c>
      <c r="K13" s="7">
        <v>-1.002421875</v>
      </c>
      <c r="L13" s="7">
        <v>10.293359375</v>
      </c>
    </row>
    <row r="14" spans="1:12" x14ac:dyDescent="0.25">
      <c r="A14" s="5">
        <v>13</v>
      </c>
      <c r="B14" s="5" t="s">
        <v>113</v>
      </c>
      <c r="C14" s="9">
        <v>0</v>
      </c>
      <c r="D14" s="6">
        <v>0.5</v>
      </c>
      <c r="E14" s="10">
        <v>1.358282918693646</v>
      </c>
      <c r="F14" s="10">
        <v>1.95E-4</v>
      </c>
      <c r="G14" s="9">
        <v>1</v>
      </c>
      <c r="H14" s="9">
        <v>-2</v>
      </c>
      <c r="I14" s="9">
        <v>0</v>
      </c>
      <c r="J14" s="7">
        <v>0</v>
      </c>
      <c r="K14" s="7">
        <v>1.95</v>
      </c>
      <c r="L14" s="7">
        <v>12.243359375000001</v>
      </c>
    </row>
    <row r="15" spans="1:12" x14ac:dyDescent="0.25">
      <c r="A15" s="5">
        <v>14</v>
      </c>
      <c r="B15" s="5" t="s">
        <v>113</v>
      </c>
      <c r="C15" s="9">
        <v>0</v>
      </c>
      <c r="D15" s="6">
        <v>0.58333333333333337</v>
      </c>
      <c r="E15" s="10">
        <v>1.357847926261168</v>
      </c>
      <c r="F15" s="10">
        <v>2.1775000000000001E-4</v>
      </c>
      <c r="G15" s="9">
        <v>1</v>
      </c>
      <c r="H15" s="9">
        <v>-3</v>
      </c>
      <c r="I15" s="9">
        <v>0</v>
      </c>
      <c r="J15" s="7">
        <v>0</v>
      </c>
      <c r="K15" s="7">
        <v>1.0887500000000001</v>
      </c>
      <c r="L15" s="7">
        <v>13.332109375000011</v>
      </c>
    </row>
    <row r="16" spans="1:12" x14ac:dyDescent="0.25">
      <c r="A16" s="5">
        <v>15</v>
      </c>
      <c r="B16" s="5" t="s">
        <v>113</v>
      </c>
      <c r="C16" s="9">
        <v>0</v>
      </c>
      <c r="D16" s="6">
        <v>0.625</v>
      </c>
      <c r="E16" s="10">
        <v>1.357802411624115</v>
      </c>
      <c r="F16" s="10">
        <v>2.29125E-4</v>
      </c>
      <c r="G16" s="9">
        <v>1</v>
      </c>
      <c r="H16" s="9">
        <v>-2</v>
      </c>
      <c r="I16" s="9">
        <v>0</v>
      </c>
      <c r="J16" s="7">
        <v>0</v>
      </c>
      <c r="K16" s="7">
        <v>1.1456249999999999</v>
      </c>
      <c r="L16" s="7">
        <v>14.47773437500001</v>
      </c>
    </row>
    <row r="17" spans="1:12" x14ac:dyDescent="0.25">
      <c r="A17" s="5">
        <v>16</v>
      </c>
      <c r="B17" s="5" t="s">
        <v>114</v>
      </c>
      <c r="C17" s="9">
        <v>0</v>
      </c>
      <c r="D17" s="6">
        <v>0.58333333333333337</v>
      </c>
      <c r="E17" s="10">
        <v>1.3577335941039681</v>
      </c>
      <c r="F17" s="10">
        <v>1.5075000000000001E-4</v>
      </c>
      <c r="G17" s="9">
        <v>1</v>
      </c>
      <c r="H17" s="9">
        <v>0</v>
      </c>
      <c r="I17" s="9">
        <v>1</v>
      </c>
      <c r="J17" s="7">
        <v>1.6959375000000001</v>
      </c>
      <c r="K17" s="7">
        <v>0.56531250000000011</v>
      </c>
      <c r="L17" s="7">
        <v>15.043046875000011</v>
      </c>
    </row>
    <row r="18" spans="1:12" x14ac:dyDescent="0.25">
      <c r="A18" s="5">
        <v>17</v>
      </c>
      <c r="B18" s="5" t="s">
        <v>114</v>
      </c>
      <c r="C18" s="9">
        <v>0</v>
      </c>
      <c r="D18" s="6">
        <v>0.5</v>
      </c>
      <c r="E18" s="10">
        <v>1.3573511553493669</v>
      </c>
      <c r="F18" s="10">
        <v>1.35E-4</v>
      </c>
      <c r="G18" s="9">
        <v>1</v>
      </c>
      <c r="H18" s="9">
        <v>3</v>
      </c>
      <c r="I18" s="9">
        <v>0</v>
      </c>
      <c r="J18" s="7">
        <v>0</v>
      </c>
      <c r="K18" s="7">
        <v>2.0249999999999999</v>
      </c>
      <c r="L18" s="7">
        <v>17.068046875000011</v>
      </c>
    </row>
    <row r="19" spans="1:12" x14ac:dyDescent="0.25">
      <c r="A19" s="5">
        <v>18</v>
      </c>
      <c r="B19" s="5" t="s">
        <v>114</v>
      </c>
      <c r="C19" s="9">
        <v>0</v>
      </c>
      <c r="D19" s="6">
        <v>0.375</v>
      </c>
      <c r="E19" s="10">
        <v>1.3565800501097101</v>
      </c>
      <c r="F19" s="10">
        <v>1.5862499999999999E-4</v>
      </c>
      <c r="G19" s="9">
        <v>1</v>
      </c>
      <c r="H19" s="9">
        <v>1</v>
      </c>
      <c r="I19" s="9">
        <v>0</v>
      </c>
      <c r="J19" s="7">
        <v>0</v>
      </c>
      <c r="K19" s="7">
        <v>1.5862499999999999</v>
      </c>
      <c r="L19" s="7">
        <v>18.654296875000011</v>
      </c>
    </row>
    <row r="20" spans="1:12" x14ac:dyDescent="0.25">
      <c r="A20" s="5">
        <v>19</v>
      </c>
      <c r="B20" s="5" t="s">
        <v>114</v>
      </c>
      <c r="C20" s="9">
        <v>0</v>
      </c>
      <c r="D20" s="6">
        <v>0.45833333333333331</v>
      </c>
      <c r="E20" s="10">
        <v>1.3559702733816019</v>
      </c>
      <c r="F20" s="10">
        <v>1.4287499999999999E-4</v>
      </c>
      <c r="G20" s="9">
        <v>1</v>
      </c>
      <c r="H20" s="9">
        <v>-2</v>
      </c>
      <c r="I20" s="9">
        <v>0</v>
      </c>
      <c r="J20" s="7">
        <v>0</v>
      </c>
      <c r="K20" s="7">
        <v>2.1431250000000008</v>
      </c>
      <c r="L20" s="7">
        <v>20.797421875000008</v>
      </c>
    </row>
    <row r="21" spans="1:12" x14ac:dyDescent="0.25">
      <c r="A21" s="5">
        <v>20</v>
      </c>
      <c r="B21" s="5" t="s">
        <v>114</v>
      </c>
      <c r="C21" s="9">
        <v>0</v>
      </c>
      <c r="D21" s="6">
        <v>0.58333333333333337</v>
      </c>
      <c r="E21" s="10">
        <v>1.356209860861012</v>
      </c>
      <c r="F21" s="10">
        <v>1.4287499999999999E-4</v>
      </c>
      <c r="G21" s="9">
        <v>2</v>
      </c>
      <c r="H21" s="9">
        <v>2</v>
      </c>
      <c r="I21" s="9">
        <v>0</v>
      </c>
      <c r="J21" s="7">
        <v>0</v>
      </c>
      <c r="K21" s="7">
        <v>2.8575000000000008</v>
      </c>
      <c r="L21" s="7">
        <v>23.65492187500001</v>
      </c>
    </row>
    <row r="22" spans="1:12" x14ac:dyDescent="0.25">
      <c r="A22" s="5">
        <v>21</v>
      </c>
      <c r="B22" s="5" t="s">
        <v>114</v>
      </c>
      <c r="C22" s="9">
        <v>0</v>
      </c>
      <c r="D22" s="6">
        <v>0.41666666666666669</v>
      </c>
      <c r="E22" s="10">
        <v>1.356140545103903</v>
      </c>
      <c r="F22" s="10">
        <v>1.5075000000000001E-4</v>
      </c>
      <c r="G22" s="9">
        <v>1</v>
      </c>
      <c r="H22" s="9">
        <v>0</v>
      </c>
      <c r="I22" s="9">
        <v>1</v>
      </c>
      <c r="J22" s="7">
        <v>1.6959375000000001</v>
      </c>
      <c r="K22" s="7">
        <v>0.56531250000000011</v>
      </c>
      <c r="L22" s="7">
        <v>24.220234375000011</v>
      </c>
    </row>
    <row r="23" spans="1:12" x14ac:dyDescent="0.25">
      <c r="A23" s="5">
        <v>22</v>
      </c>
      <c r="B23" s="5" t="s">
        <v>114</v>
      </c>
      <c r="C23" s="9">
        <v>0</v>
      </c>
      <c r="D23" s="6">
        <v>0.5</v>
      </c>
      <c r="E23" s="10">
        <v>1.3561308222533339</v>
      </c>
      <c r="F23" s="10">
        <v>1.35E-4</v>
      </c>
      <c r="G23" s="9">
        <v>1</v>
      </c>
      <c r="H23" s="9">
        <v>-2</v>
      </c>
      <c r="I23" s="9">
        <v>0</v>
      </c>
      <c r="J23" s="7">
        <v>0</v>
      </c>
      <c r="K23" s="7">
        <v>1.35</v>
      </c>
      <c r="L23" s="7">
        <v>25.570234375000009</v>
      </c>
    </row>
    <row r="24" spans="1:12" x14ac:dyDescent="0.25">
      <c r="A24" s="5">
        <v>23</v>
      </c>
      <c r="B24" s="5" t="s">
        <v>114</v>
      </c>
      <c r="C24" s="9">
        <v>0</v>
      </c>
      <c r="D24" s="6">
        <v>0.58333333333333337</v>
      </c>
      <c r="E24" s="10">
        <v>1.356568922465877</v>
      </c>
      <c r="F24" s="10">
        <v>1.4287499999999999E-4</v>
      </c>
      <c r="G24" s="9">
        <v>2</v>
      </c>
      <c r="H24" s="9">
        <v>4</v>
      </c>
      <c r="I24" s="9">
        <v>1</v>
      </c>
      <c r="J24" s="7">
        <v>1.6959375000000001</v>
      </c>
      <c r="K24" s="7">
        <v>3.2653125000000012</v>
      </c>
      <c r="L24" s="7">
        <v>28.835546875000009</v>
      </c>
    </row>
    <row r="25" spans="1:12" x14ac:dyDescent="0.25">
      <c r="A25" s="5">
        <v>24</v>
      </c>
      <c r="B25" s="5" t="s">
        <v>114</v>
      </c>
      <c r="C25" s="9">
        <v>0</v>
      </c>
      <c r="D25" s="6">
        <v>0.33333333333333343</v>
      </c>
      <c r="E25" s="10">
        <v>1.356780065241642</v>
      </c>
      <c r="F25" s="10">
        <v>1.6650000000000001E-4</v>
      </c>
      <c r="G25" s="9">
        <v>1</v>
      </c>
      <c r="H25" s="9">
        <v>1</v>
      </c>
      <c r="I25" s="9">
        <v>0</v>
      </c>
      <c r="J25" s="7">
        <v>0</v>
      </c>
      <c r="K25" s="7">
        <v>2.4975000000000009</v>
      </c>
      <c r="L25" s="7">
        <v>31.333046875000019</v>
      </c>
    </row>
    <row r="26" spans="1:12" x14ac:dyDescent="0.25">
      <c r="A26" s="5">
        <v>25</v>
      </c>
      <c r="B26" s="5" t="s">
        <v>114</v>
      </c>
      <c r="C26" s="9">
        <v>0</v>
      </c>
      <c r="D26" s="6">
        <v>0.45833333333333331</v>
      </c>
      <c r="E26" s="10">
        <v>1.3584749419557121</v>
      </c>
      <c r="F26" s="10">
        <v>1.4287499999999999E-4</v>
      </c>
      <c r="G26" s="9">
        <v>1</v>
      </c>
      <c r="H26" s="9">
        <v>-1</v>
      </c>
      <c r="I26" s="9">
        <v>0</v>
      </c>
      <c r="J26" s="7">
        <v>0</v>
      </c>
      <c r="K26" s="7">
        <v>1.42875</v>
      </c>
      <c r="L26" s="7">
        <v>32.761796875000023</v>
      </c>
    </row>
    <row r="27" spans="1:12" x14ac:dyDescent="0.25">
      <c r="A27" s="5">
        <v>26</v>
      </c>
      <c r="B27" s="5" t="s">
        <v>114</v>
      </c>
      <c r="C27" s="9">
        <v>0</v>
      </c>
      <c r="D27" s="6">
        <v>0.54166666666666663</v>
      </c>
      <c r="E27" s="10">
        <v>1.357884070887583</v>
      </c>
      <c r="F27" s="10">
        <v>1.5075000000000011E-4</v>
      </c>
      <c r="G27" s="9">
        <v>2</v>
      </c>
      <c r="H27" s="9">
        <v>0</v>
      </c>
      <c r="I27" s="9">
        <v>1</v>
      </c>
      <c r="J27" s="7">
        <v>1.7845312499999999</v>
      </c>
      <c r="K27" s="7">
        <v>2.6592187500000009</v>
      </c>
      <c r="L27" s="7">
        <v>35.421015625000017</v>
      </c>
    </row>
    <row r="28" spans="1:12" x14ac:dyDescent="0.25">
      <c r="A28" s="5">
        <v>27</v>
      </c>
      <c r="B28" s="5" t="s">
        <v>114</v>
      </c>
      <c r="C28" s="9">
        <v>0</v>
      </c>
      <c r="D28" s="6">
        <v>0.5</v>
      </c>
      <c r="E28" s="10">
        <v>1.359562026725432</v>
      </c>
      <c r="F28" s="10">
        <v>1.35E-4</v>
      </c>
      <c r="G28" s="9">
        <v>1</v>
      </c>
      <c r="H28" s="9">
        <v>4</v>
      </c>
      <c r="I28" s="9">
        <v>0</v>
      </c>
      <c r="J28" s="7">
        <v>0</v>
      </c>
      <c r="K28" s="7">
        <v>2.7000000000000011</v>
      </c>
      <c r="L28" s="7">
        <v>38.12101562500002</v>
      </c>
    </row>
    <row r="29" spans="1:12" x14ac:dyDescent="0.25">
      <c r="A29" s="5">
        <v>28</v>
      </c>
      <c r="B29" s="5" t="s">
        <v>114</v>
      </c>
      <c r="C29" s="9">
        <v>0</v>
      </c>
      <c r="D29" s="6">
        <v>0.33333333333333343</v>
      </c>
      <c r="E29" s="10">
        <v>1.360417180177045</v>
      </c>
      <c r="F29" s="10">
        <v>1.6650000000000001E-4</v>
      </c>
      <c r="G29" s="9">
        <v>1</v>
      </c>
      <c r="H29" s="9">
        <v>0</v>
      </c>
      <c r="I29" s="9">
        <v>1</v>
      </c>
      <c r="J29" s="7">
        <v>2.6223750000000008</v>
      </c>
      <c r="K29" s="7">
        <v>-0.12487499999999981</v>
      </c>
      <c r="L29" s="7">
        <v>37.996140625000017</v>
      </c>
    </row>
    <row r="30" spans="1:12" x14ac:dyDescent="0.25">
      <c r="A30" s="5">
        <v>29</v>
      </c>
      <c r="B30" s="5" t="s">
        <v>114</v>
      </c>
      <c r="C30" s="9">
        <v>0</v>
      </c>
      <c r="D30" s="6">
        <v>0.5</v>
      </c>
      <c r="E30" s="10">
        <v>1.360312493518159</v>
      </c>
      <c r="F30" s="10">
        <v>1.468125E-4</v>
      </c>
      <c r="G30" s="9">
        <v>2</v>
      </c>
      <c r="H30" s="9">
        <v>0</v>
      </c>
      <c r="I30" s="9">
        <v>1</v>
      </c>
      <c r="J30" s="7">
        <v>1.7845312499999999</v>
      </c>
      <c r="K30" s="7">
        <v>1.8267187500000011</v>
      </c>
      <c r="L30" s="7">
        <v>39.822859375000007</v>
      </c>
    </row>
    <row r="31" spans="1:12" x14ac:dyDescent="0.25">
      <c r="A31" s="5">
        <v>30</v>
      </c>
      <c r="B31" s="5" t="s">
        <v>114</v>
      </c>
      <c r="C31" s="9">
        <v>0</v>
      </c>
      <c r="D31" s="6">
        <v>0.5</v>
      </c>
      <c r="E31" s="10">
        <v>1.3609742279163359</v>
      </c>
      <c r="F31" s="10">
        <v>1.35E-4</v>
      </c>
      <c r="G31" s="9">
        <v>1</v>
      </c>
      <c r="H31" s="9">
        <v>4</v>
      </c>
      <c r="I31" s="9">
        <v>0</v>
      </c>
      <c r="J31" s="7">
        <v>0</v>
      </c>
      <c r="K31" s="7">
        <v>2.7000000000000011</v>
      </c>
      <c r="L31" s="7">
        <v>42.522859375000017</v>
      </c>
    </row>
    <row r="32" spans="1:12" x14ac:dyDescent="0.25">
      <c r="A32" s="5">
        <v>31</v>
      </c>
      <c r="B32" s="5" t="s">
        <v>114</v>
      </c>
      <c r="C32" s="9">
        <v>0</v>
      </c>
      <c r="D32" s="6">
        <v>0.33333333333333343</v>
      </c>
      <c r="E32" s="10">
        <v>1.3617713299395531</v>
      </c>
      <c r="F32" s="10">
        <v>1.6650000000000001E-4</v>
      </c>
      <c r="G32" s="9">
        <v>1</v>
      </c>
      <c r="H32" s="9">
        <v>1</v>
      </c>
      <c r="I32" s="9">
        <v>0</v>
      </c>
      <c r="J32" s="7">
        <v>0</v>
      </c>
      <c r="K32" s="7">
        <v>2.4975000000000009</v>
      </c>
      <c r="L32" s="7">
        <v>45.020359375000019</v>
      </c>
    </row>
    <row r="33" spans="1:12" x14ac:dyDescent="0.25">
      <c r="A33" s="5">
        <v>32</v>
      </c>
      <c r="B33" s="5" t="s">
        <v>114</v>
      </c>
      <c r="C33" s="9">
        <v>0</v>
      </c>
      <c r="D33" s="6">
        <v>0.45833333333333331</v>
      </c>
      <c r="E33" s="10">
        <v>1.3618662274206019</v>
      </c>
      <c r="F33" s="10">
        <v>1.4287499999999999E-4</v>
      </c>
      <c r="G33" s="9">
        <v>1</v>
      </c>
      <c r="H33" s="9">
        <v>-2</v>
      </c>
      <c r="I33" s="9">
        <v>0</v>
      </c>
      <c r="J33" s="7">
        <v>0</v>
      </c>
      <c r="K33" s="7">
        <v>2.1431250000000008</v>
      </c>
      <c r="L33" s="7">
        <v>47.163484375000017</v>
      </c>
    </row>
    <row r="34" spans="1:12" x14ac:dyDescent="0.25">
      <c r="A34" s="5">
        <v>33</v>
      </c>
      <c r="B34" s="5" t="s">
        <v>114</v>
      </c>
      <c r="C34" s="9">
        <v>0</v>
      </c>
      <c r="D34" s="6">
        <v>0.58333333333333337</v>
      </c>
      <c r="E34" s="10">
        <v>1.362222190443293</v>
      </c>
      <c r="F34" s="10">
        <v>1.5862499999999999E-4</v>
      </c>
      <c r="G34" s="9">
        <v>2</v>
      </c>
      <c r="H34" s="9">
        <v>0</v>
      </c>
      <c r="I34" s="9">
        <v>1</v>
      </c>
      <c r="J34" s="7">
        <v>2.6223750000000008</v>
      </c>
      <c r="K34" s="7">
        <v>1.382625</v>
      </c>
      <c r="L34" s="7">
        <v>48.546109375000007</v>
      </c>
    </row>
    <row r="35" spans="1:12" x14ac:dyDescent="0.25">
      <c r="A35" s="5">
        <v>34</v>
      </c>
      <c r="B35" s="5" t="s">
        <v>114</v>
      </c>
      <c r="C35" s="9">
        <v>0</v>
      </c>
      <c r="D35" s="6">
        <v>0.5</v>
      </c>
      <c r="E35" s="10">
        <v>1.362501086907693</v>
      </c>
      <c r="F35" s="10">
        <v>1.35E-4</v>
      </c>
      <c r="G35" s="9">
        <v>1</v>
      </c>
      <c r="H35" s="9">
        <v>-4</v>
      </c>
      <c r="I35" s="9">
        <v>0</v>
      </c>
      <c r="J35" s="7">
        <v>0</v>
      </c>
      <c r="K35" s="7">
        <v>2.7000000000000011</v>
      </c>
      <c r="L35" s="7">
        <v>51.246109375000017</v>
      </c>
    </row>
    <row r="36" spans="1:12" x14ac:dyDescent="0.25">
      <c r="A36" s="5">
        <v>35</v>
      </c>
      <c r="B36" s="5" t="s">
        <v>114</v>
      </c>
      <c r="C36" s="9">
        <v>0</v>
      </c>
      <c r="D36" s="6">
        <v>0.66666666666666663</v>
      </c>
      <c r="E36" s="10">
        <v>1.3617345756945081</v>
      </c>
      <c r="F36" s="10">
        <v>1.5075000000000001E-4</v>
      </c>
      <c r="G36" s="9">
        <v>2</v>
      </c>
      <c r="H36" s="9">
        <v>-4</v>
      </c>
      <c r="I36" s="9">
        <v>0</v>
      </c>
      <c r="J36" s="7">
        <v>0</v>
      </c>
      <c r="K36" s="7">
        <v>6.0300000000000011</v>
      </c>
      <c r="L36" s="7">
        <v>57.276109375000019</v>
      </c>
    </row>
    <row r="37" spans="1:12" x14ac:dyDescent="0.25">
      <c r="A37" s="5">
        <v>36</v>
      </c>
      <c r="B37" s="5" t="s">
        <v>115</v>
      </c>
      <c r="C37" s="9">
        <v>0</v>
      </c>
      <c r="D37" s="6">
        <v>0.66666666666666663</v>
      </c>
      <c r="E37" s="10">
        <v>1.3624162822460419</v>
      </c>
      <c r="F37" s="10">
        <v>2.0350000000000001E-4</v>
      </c>
      <c r="G37" s="9">
        <v>1</v>
      </c>
      <c r="H37" s="9">
        <v>-1</v>
      </c>
      <c r="I37" s="9">
        <v>0</v>
      </c>
      <c r="J37" s="7">
        <v>0</v>
      </c>
      <c r="K37" s="7">
        <v>3.0525000000000011</v>
      </c>
      <c r="L37" s="7">
        <v>60.328609375000021</v>
      </c>
    </row>
    <row r="38" spans="1:12" x14ac:dyDescent="0.25">
      <c r="A38" s="5">
        <v>37</v>
      </c>
      <c r="B38" s="5" t="s">
        <v>115</v>
      </c>
      <c r="C38" s="9">
        <v>0</v>
      </c>
      <c r="D38" s="6">
        <v>0.54166666666666663</v>
      </c>
      <c r="E38" s="10">
        <v>1.3618008505382</v>
      </c>
      <c r="F38" s="10">
        <v>1.74625E-4</v>
      </c>
      <c r="G38" s="9">
        <v>1</v>
      </c>
      <c r="H38" s="9">
        <v>2</v>
      </c>
      <c r="I38" s="9">
        <v>0</v>
      </c>
      <c r="J38" s="7">
        <v>0</v>
      </c>
      <c r="K38" s="7">
        <v>2.6193749999999998</v>
      </c>
      <c r="L38" s="7">
        <v>62.947984375000019</v>
      </c>
    </row>
    <row r="39" spans="1:12" x14ac:dyDescent="0.25">
      <c r="A39" s="5">
        <v>38</v>
      </c>
      <c r="B39" s="5" t="s">
        <v>115</v>
      </c>
      <c r="C39" s="9">
        <v>0</v>
      </c>
      <c r="D39" s="6">
        <v>0.41666666666666669</v>
      </c>
      <c r="E39" s="10">
        <v>1.3604191257487681</v>
      </c>
      <c r="F39" s="10">
        <v>1.8425000000000001E-4</v>
      </c>
      <c r="G39" s="9">
        <v>1</v>
      </c>
      <c r="H39" s="9">
        <v>0</v>
      </c>
      <c r="I39" s="9">
        <v>1</v>
      </c>
      <c r="J39" s="7">
        <v>2.418281250000001</v>
      </c>
      <c r="K39" s="7">
        <v>0.34546874999999982</v>
      </c>
      <c r="L39" s="7">
        <v>63.293453125000021</v>
      </c>
    </row>
    <row r="40" spans="1:12" x14ac:dyDescent="0.25">
      <c r="A40" s="5">
        <v>39</v>
      </c>
      <c r="B40" s="5" t="s">
        <v>115</v>
      </c>
      <c r="C40" s="9">
        <v>0</v>
      </c>
      <c r="D40" s="6">
        <v>0.5</v>
      </c>
      <c r="E40" s="10">
        <v>1.3607046353476899</v>
      </c>
      <c r="F40" s="10">
        <v>1.65E-4</v>
      </c>
      <c r="G40" s="9">
        <v>1</v>
      </c>
      <c r="H40" s="9">
        <v>-2</v>
      </c>
      <c r="I40" s="9">
        <v>0</v>
      </c>
      <c r="J40" s="7">
        <v>0</v>
      </c>
      <c r="K40" s="7">
        <v>1.65</v>
      </c>
      <c r="L40" s="7">
        <v>64.943453125000019</v>
      </c>
    </row>
    <row r="41" spans="1:12" x14ac:dyDescent="0.25">
      <c r="A41" s="5">
        <v>40</v>
      </c>
      <c r="B41" s="5" t="s">
        <v>115</v>
      </c>
      <c r="C41" s="9">
        <v>1</v>
      </c>
      <c r="D41" s="6">
        <v>0.61904761904761907</v>
      </c>
      <c r="E41" s="10">
        <v>1.360296953825938</v>
      </c>
      <c r="F41" s="10">
        <v>2.8875000000000011E-4</v>
      </c>
      <c r="G41" s="9">
        <v>1</v>
      </c>
      <c r="H41" s="9">
        <v>-2</v>
      </c>
      <c r="I41" s="9">
        <v>1</v>
      </c>
      <c r="J41" s="7">
        <v>2.2739062500000009</v>
      </c>
      <c r="K41" s="7">
        <v>0.61359375000000016</v>
      </c>
      <c r="L41" s="7">
        <v>65.557046875000026</v>
      </c>
    </row>
    <row r="42" spans="1:12" x14ac:dyDescent="0.25">
      <c r="A42" s="5">
        <v>41</v>
      </c>
      <c r="B42" s="5" t="s">
        <v>115</v>
      </c>
      <c r="C42" s="9">
        <v>1</v>
      </c>
      <c r="D42" s="6">
        <v>0.61904761904761907</v>
      </c>
      <c r="E42" s="10">
        <v>1.36007631668816</v>
      </c>
      <c r="F42" s="10">
        <v>2.8875000000000011E-4</v>
      </c>
      <c r="G42" s="9">
        <v>1</v>
      </c>
      <c r="H42" s="9">
        <v>0</v>
      </c>
      <c r="I42" s="9">
        <v>0</v>
      </c>
      <c r="J42" s="7">
        <v>0</v>
      </c>
      <c r="K42" s="7">
        <v>2.8875000000000011</v>
      </c>
      <c r="L42" s="7">
        <v>68.444546875000029</v>
      </c>
    </row>
    <row r="43" spans="1:12" x14ac:dyDescent="0.25">
      <c r="A43" s="5">
        <v>42</v>
      </c>
      <c r="B43" s="5" t="s">
        <v>115</v>
      </c>
      <c r="C43" s="9">
        <v>1</v>
      </c>
      <c r="D43" s="6">
        <v>0.5</v>
      </c>
      <c r="E43" s="10">
        <v>1.359717754987074</v>
      </c>
      <c r="F43" s="10">
        <v>2.4750000000000011E-4</v>
      </c>
      <c r="G43" s="9">
        <v>1</v>
      </c>
      <c r="H43" s="9">
        <v>-1</v>
      </c>
      <c r="I43" s="9">
        <v>0</v>
      </c>
      <c r="J43" s="7">
        <v>0</v>
      </c>
      <c r="K43" s="7">
        <v>1.2375</v>
      </c>
      <c r="L43" s="7">
        <v>69.682046875000026</v>
      </c>
    </row>
    <row r="44" spans="1:12" x14ac:dyDescent="0.25">
      <c r="A44" s="5">
        <v>43</v>
      </c>
      <c r="B44" s="5" t="s">
        <v>115</v>
      </c>
      <c r="C44" s="9">
        <v>1</v>
      </c>
      <c r="D44" s="6">
        <v>0.55952380952380953</v>
      </c>
      <c r="E44" s="10">
        <v>1.3584054950275939</v>
      </c>
      <c r="F44" s="10">
        <v>2.6812500000000003E-4</v>
      </c>
      <c r="G44" s="9">
        <v>1</v>
      </c>
      <c r="H44" s="9">
        <v>-3</v>
      </c>
      <c r="I44" s="9">
        <v>0</v>
      </c>
      <c r="J44" s="7">
        <v>0</v>
      </c>
      <c r="K44" s="7">
        <v>2.6812499999999999</v>
      </c>
      <c r="L44" s="7">
        <v>72.363296875000032</v>
      </c>
    </row>
    <row r="45" spans="1:12" x14ac:dyDescent="0.25">
      <c r="A45" s="5">
        <v>44</v>
      </c>
      <c r="B45" s="5" t="s">
        <v>115</v>
      </c>
      <c r="C45" s="9">
        <v>1</v>
      </c>
      <c r="D45" s="6">
        <v>0.6785714285714286</v>
      </c>
      <c r="E45" s="10">
        <v>1.3572684000241699</v>
      </c>
      <c r="F45" s="10">
        <v>3.0937500000000008E-4</v>
      </c>
      <c r="G45" s="9">
        <v>1</v>
      </c>
      <c r="H45" s="9">
        <v>-3</v>
      </c>
      <c r="I45" s="9">
        <v>1</v>
      </c>
      <c r="J45" s="7">
        <v>2.4363281250000011</v>
      </c>
      <c r="K45" s="7">
        <v>0.65742187499999982</v>
      </c>
      <c r="L45" s="7">
        <v>73.020718750000029</v>
      </c>
    </row>
    <row r="46" spans="1:12" x14ac:dyDescent="0.25">
      <c r="A46" s="5">
        <v>45</v>
      </c>
      <c r="B46" s="5" t="s">
        <v>115</v>
      </c>
      <c r="C46" s="9">
        <v>1</v>
      </c>
      <c r="D46" s="6">
        <v>0.6785714285714286</v>
      </c>
      <c r="E46" s="10">
        <v>1.3589989206956341</v>
      </c>
      <c r="F46" s="10">
        <v>3.0937500000000008E-4</v>
      </c>
      <c r="G46" s="9">
        <v>1</v>
      </c>
      <c r="H46" s="9">
        <v>-3</v>
      </c>
      <c r="I46" s="9">
        <v>1</v>
      </c>
      <c r="J46" s="7">
        <v>3.6544921875000012</v>
      </c>
      <c r="K46" s="7">
        <v>0.98613281249999973</v>
      </c>
      <c r="L46" s="7">
        <v>74.006851562500032</v>
      </c>
    </row>
    <row r="47" spans="1:12" x14ac:dyDescent="0.25">
      <c r="A47" s="5">
        <v>46</v>
      </c>
      <c r="B47" s="5" t="s">
        <v>115</v>
      </c>
      <c r="C47" s="9">
        <v>0</v>
      </c>
      <c r="D47" s="6">
        <v>0.67265193370165743</v>
      </c>
      <c r="E47" s="10">
        <v>1.357113709647076</v>
      </c>
      <c r="F47" s="10">
        <v>2.9912859116022099E-4</v>
      </c>
      <c r="G47" s="9">
        <v>1</v>
      </c>
      <c r="H47" s="9">
        <v>-2</v>
      </c>
      <c r="I47" s="9">
        <v>0</v>
      </c>
      <c r="J47" s="7">
        <v>0</v>
      </c>
      <c r="K47" s="7">
        <v>1.4956429558011051</v>
      </c>
      <c r="L47" s="7">
        <v>75.502494518301134</v>
      </c>
    </row>
    <row r="48" spans="1:12" x14ac:dyDescent="0.25">
      <c r="A48" s="5">
        <v>47</v>
      </c>
      <c r="B48" s="5" t="s">
        <v>115</v>
      </c>
      <c r="C48" s="9">
        <v>0</v>
      </c>
      <c r="D48" s="6">
        <v>0.6114081996434938</v>
      </c>
      <c r="E48" s="10">
        <v>1.3574757565520721</v>
      </c>
      <c r="F48" s="10">
        <v>2.7084411764705888E-4</v>
      </c>
      <c r="G48" s="9">
        <v>1</v>
      </c>
      <c r="H48" s="9">
        <v>0</v>
      </c>
      <c r="I48" s="9">
        <v>1</v>
      </c>
      <c r="J48" s="7">
        <v>5.0478572426470594</v>
      </c>
      <c r="K48" s="7">
        <v>-0.98519547794117646</v>
      </c>
      <c r="L48" s="7">
        <v>74.517299040359958</v>
      </c>
    </row>
    <row r="49" spans="1:12" x14ac:dyDescent="0.25">
      <c r="A49" s="5">
        <v>48</v>
      </c>
      <c r="B49" s="5" t="s">
        <v>115</v>
      </c>
      <c r="C49" s="9">
        <v>0</v>
      </c>
      <c r="D49" s="6">
        <v>0.5</v>
      </c>
      <c r="E49" s="10">
        <v>1.3586075953446199</v>
      </c>
      <c r="F49" s="10">
        <v>2.2770000000000001E-4</v>
      </c>
      <c r="G49" s="9">
        <v>1</v>
      </c>
      <c r="H49" s="9">
        <v>1</v>
      </c>
      <c r="I49" s="9">
        <v>0</v>
      </c>
      <c r="J49" s="7">
        <v>0</v>
      </c>
      <c r="K49" s="7">
        <v>1.1385000000000001</v>
      </c>
      <c r="L49" s="7">
        <v>75.655799040359952</v>
      </c>
    </row>
    <row r="50" spans="1:12" x14ac:dyDescent="0.25">
      <c r="A50" s="5">
        <v>49</v>
      </c>
      <c r="B50" s="5" t="s">
        <v>115</v>
      </c>
      <c r="C50" s="9">
        <v>0</v>
      </c>
      <c r="D50" s="6">
        <v>0.44765494137353429</v>
      </c>
      <c r="E50" s="10">
        <v>1.3585158380940849</v>
      </c>
      <c r="F50" s="10">
        <v>2.3730288944723621E-4</v>
      </c>
      <c r="G50" s="9">
        <v>1</v>
      </c>
      <c r="H50" s="9">
        <v>-2</v>
      </c>
      <c r="I50" s="9">
        <v>0</v>
      </c>
      <c r="J50" s="7">
        <v>0</v>
      </c>
      <c r="K50" s="7">
        <v>3.559543341708542</v>
      </c>
      <c r="L50" s="7">
        <v>79.215342382068499</v>
      </c>
    </row>
    <row r="51" spans="1:12" x14ac:dyDescent="0.25">
      <c r="A51" s="5">
        <v>50</v>
      </c>
      <c r="B51" s="5" t="s">
        <v>115</v>
      </c>
      <c r="C51" s="9">
        <v>0</v>
      </c>
      <c r="D51" s="6">
        <v>0.60162601626016254</v>
      </c>
      <c r="E51" s="10">
        <v>1.3598408095365231</v>
      </c>
      <c r="F51" s="10">
        <v>2.4501829268292689E-4</v>
      </c>
      <c r="G51" s="9">
        <v>1</v>
      </c>
      <c r="H51" s="9">
        <v>-3</v>
      </c>
      <c r="I51" s="9">
        <v>0</v>
      </c>
      <c r="J51" s="7">
        <v>0</v>
      </c>
      <c r="K51" s="7">
        <v>1.2250914634146339</v>
      </c>
      <c r="L51" s="7">
        <v>80.440433845483128</v>
      </c>
    </row>
    <row r="54" spans="1:12" x14ac:dyDescent="0.25">
      <c r="A54" s="12" t="s">
        <v>91</v>
      </c>
      <c r="B54" s="12" t="s">
        <v>80</v>
      </c>
    </row>
    <row r="55" spans="1:12" x14ac:dyDescent="0.25">
      <c r="A55" s="5" t="s">
        <v>20</v>
      </c>
      <c r="B55" s="10" t="s">
        <v>28</v>
      </c>
    </row>
    <row r="56" spans="1:12" x14ac:dyDescent="0.25">
      <c r="A56" s="5" t="s">
        <v>116</v>
      </c>
      <c r="B56" s="10">
        <v>9.7656261519525356E+18</v>
      </c>
    </row>
    <row r="57" spans="1:12" x14ac:dyDescent="0.25">
      <c r="A57" s="5" t="s">
        <v>117</v>
      </c>
      <c r="B57" s="10">
        <v>-3</v>
      </c>
    </row>
    <row r="58" spans="1:12" x14ac:dyDescent="0.25">
      <c r="A58" s="5" t="s">
        <v>118</v>
      </c>
      <c r="B58" s="10">
        <v>15</v>
      </c>
    </row>
    <row r="59" spans="1:12" x14ac:dyDescent="0.25">
      <c r="A59" s="5" t="s">
        <v>119</v>
      </c>
      <c r="B59" s="10">
        <v>2.1508987781874891E-4</v>
      </c>
    </row>
    <row r="60" spans="1:12" x14ac:dyDescent="0.25">
      <c r="A60" s="5" t="s">
        <v>120</v>
      </c>
      <c r="B60" s="10" t="s">
        <v>62</v>
      </c>
    </row>
    <row r="61" spans="1:12" x14ac:dyDescent="0.25">
      <c r="A61" s="5" t="s">
        <v>121</v>
      </c>
      <c r="B61" s="10">
        <v>1</v>
      </c>
    </row>
    <row r="62" spans="1:12" x14ac:dyDescent="0.25">
      <c r="A62" s="5" t="s">
        <v>122</v>
      </c>
      <c r="B62" s="10">
        <v>80.440433845483128</v>
      </c>
    </row>
    <row r="63" spans="1:12" x14ac:dyDescent="0.25">
      <c r="A63" s="5" t="s">
        <v>123</v>
      </c>
      <c r="B63" s="10">
        <v>3</v>
      </c>
    </row>
    <row r="64" spans="1:12" x14ac:dyDescent="0.25">
      <c r="A64" s="5" t="s">
        <v>124</v>
      </c>
      <c r="B64" s="10">
        <v>7</v>
      </c>
    </row>
    <row r="65" spans="1:2" x14ac:dyDescent="0.25">
      <c r="A65" s="5" t="s">
        <v>125</v>
      </c>
      <c r="B65" s="10">
        <v>5</v>
      </c>
    </row>
    <row r="66" spans="1:2" x14ac:dyDescent="0.25">
      <c r="A66" s="5" t="s">
        <v>126</v>
      </c>
      <c r="B66" s="10">
        <v>2.124416666666667E-4</v>
      </c>
    </row>
    <row r="67" spans="1:2" x14ac:dyDescent="0.25">
      <c r="A67" s="5" t="s">
        <v>127</v>
      </c>
      <c r="B67" s="10">
        <v>1.480240384615385E-4</v>
      </c>
    </row>
    <row r="68" spans="1:2" x14ac:dyDescent="0.25">
      <c r="A68" s="5" t="s">
        <v>128</v>
      </c>
      <c r="B68" s="10">
        <v>2.4794959272916292E-4</v>
      </c>
    </row>
    <row r="69" spans="1:2" x14ac:dyDescent="0.25">
      <c r="A69" s="5" t="s">
        <v>129</v>
      </c>
      <c r="B69" s="10">
        <v>9.0633984375000018</v>
      </c>
    </row>
    <row r="70" spans="1:2" x14ac:dyDescent="0.25">
      <c r="A70" s="5" t="s">
        <v>130</v>
      </c>
      <c r="B70" s="10"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6874C-7960-41DE-B6C5-202EDAA4A7FC}">
  <sheetPr codeName="Sheet10"/>
  <dimension ref="A1:L211"/>
  <sheetViews>
    <sheetView zoomScaleNormal="100" workbookViewId="0">
      <selection activeCell="C3" sqref="C3"/>
    </sheetView>
  </sheetViews>
  <sheetFormatPr defaultRowHeight="15" x14ac:dyDescent="0.25"/>
  <cols>
    <col min="1" max="1" width="15" style="18" bestFit="1" customWidth="1"/>
    <col min="2" max="2" width="21" style="18" customWidth="1"/>
    <col min="3" max="5" width="9.140625" style="18"/>
    <col min="6" max="6" width="56.140625" style="18" bestFit="1" customWidth="1"/>
    <col min="7" max="7" width="68.28515625" style="18" bestFit="1" customWidth="1"/>
    <col min="8" max="8" width="58.42578125" style="18" bestFit="1" customWidth="1"/>
    <col min="9" max="9" width="86.140625" style="18" bestFit="1" customWidth="1"/>
    <col min="10" max="10" width="89.140625" style="18" bestFit="1" customWidth="1"/>
    <col min="11" max="11" width="35.7109375" style="18" bestFit="1" customWidth="1"/>
    <col min="12" max="12" width="96.85546875" style="18" bestFit="1" customWidth="1"/>
    <col min="13" max="16384" width="9.140625" style="18"/>
  </cols>
  <sheetData>
    <row r="1" spans="1:12" x14ac:dyDescent="0.25">
      <c r="A1" s="18" t="s">
        <v>198</v>
      </c>
      <c r="B1" s="19" t="s">
        <v>199</v>
      </c>
    </row>
    <row r="5" spans="1:12" ht="27" thickBot="1" x14ac:dyDescent="0.3">
      <c r="F5" s="24" t="s">
        <v>292</v>
      </c>
    </row>
    <row r="6" spans="1:12" x14ac:dyDescent="0.25">
      <c r="A6" s="20" t="s">
        <v>131</v>
      </c>
      <c r="F6" s="25" t="s">
        <v>259</v>
      </c>
      <c r="G6" s="26" t="s">
        <v>263</v>
      </c>
      <c r="H6" s="26" t="s">
        <v>267</v>
      </c>
      <c r="I6" s="26" t="s">
        <v>272</v>
      </c>
      <c r="J6" s="26" t="s">
        <v>276</v>
      </c>
      <c r="K6" s="26" t="s">
        <v>282</v>
      </c>
      <c r="L6" s="27" t="s">
        <v>284</v>
      </c>
    </row>
    <row r="7" spans="1:12" x14ac:dyDescent="0.25">
      <c r="A7" s="17" t="s">
        <v>91</v>
      </c>
      <c r="B7" s="17" t="s">
        <v>80</v>
      </c>
      <c r="F7" s="28" t="s">
        <v>260</v>
      </c>
      <c r="G7" s="29" t="s">
        <v>264</v>
      </c>
      <c r="H7" s="29" t="s">
        <v>268</v>
      </c>
      <c r="I7" s="29" t="s">
        <v>273</v>
      </c>
      <c r="J7" s="29" t="s">
        <v>277</v>
      </c>
      <c r="K7" s="29" t="s">
        <v>283</v>
      </c>
      <c r="L7" s="30" t="s">
        <v>285</v>
      </c>
    </row>
    <row r="8" spans="1:12" x14ac:dyDescent="0.25">
      <c r="A8" s="21" t="s">
        <v>132</v>
      </c>
      <c r="B8" s="22">
        <v>73.999999999999972</v>
      </c>
      <c r="F8" s="28" t="s">
        <v>261</v>
      </c>
      <c r="G8" s="29" t="s">
        <v>265</v>
      </c>
      <c r="H8" s="29" t="s">
        <v>269</v>
      </c>
      <c r="I8" s="29" t="s">
        <v>274</v>
      </c>
      <c r="J8" s="29" t="s">
        <v>278</v>
      </c>
      <c r="K8" s="31"/>
      <c r="L8" s="30" t="s">
        <v>286</v>
      </c>
    </row>
    <row r="9" spans="1:12" x14ac:dyDescent="0.25">
      <c r="A9" s="21" t="s">
        <v>133</v>
      </c>
      <c r="B9" s="22">
        <v>52.999999999999979</v>
      </c>
      <c r="F9" s="28" t="s">
        <v>262</v>
      </c>
      <c r="G9" s="29" t="s">
        <v>266</v>
      </c>
      <c r="H9" s="29" t="s">
        <v>270</v>
      </c>
      <c r="I9" s="29" t="s">
        <v>275</v>
      </c>
      <c r="J9" s="29" t="s">
        <v>279</v>
      </c>
      <c r="K9" s="31"/>
      <c r="L9" s="30" t="s">
        <v>287</v>
      </c>
    </row>
    <row r="10" spans="1:12" x14ac:dyDescent="0.25">
      <c r="A10" s="21" t="s">
        <v>134</v>
      </c>
      <c r="B10" s="22">
        <v>27</v>
      </c>
      <c r="F10" s="32"/>
      <c r="G10" s="31"/>
      <c r="H10" s="29" t="s">
        <v>271</v>
      </c>
      <c r="I10" s="31"/>
      <c r="J10" s="29" t="s">
        <v>280</v>
      </c>
      <c r="K10" s="31"/>
      <c r="L10" s="33"/>
    </row>
    <row r="11" spans="1:12" ht="15.75" thickBot="1" x14ac:dyDescent="0.3">
      <c r="A11" s="21" t="s">
        <v>135</v>
      </c>
      <c r="B11" s="22">
        <v>83</v>
      </c>
      <c r="F11" s="34"/>
      <c r="G11" s="35"/>
      <c r="H11" s="35"/>
      <c r="I11" s="35"/>
      <c r="J11" s="36" t="s">
        <v>281</v>
      </c>
      <c r="K11" s="35"/>
      <c r="L11" s="37"/>
    </row>
    <row r="12" spans="1:12" x14ac:dyDescent="0.25">
      <c r="A12" s="21" t="s">
        <v>136</v>
      </c>
      <c r="B12" s="22">
        <v>36.000000000000028</v>
      </c>
    </row>
    <row r="14" spans="1:12" x14ac:dyDescent="0.25">
      <c r="A14" s="20" t="s">
        <v>200</v>
      </c>
    </row>
    <row r="15" spans="1:12" x14ac:dyDescent="0.25">
      <c r="A15" s="23" t="s">
        <v>201</v>
      </c>
    </row>
    <row r="16" spans="1:12" x14ac:dyDescent="0.25">
      <c r="A16" s="19" t="s">
        <v>202</v>
      </c>
    </row>
    <row r="17" spans="1:1" x14ac:dyDescent="0.25">
      <c r="A17" s="19" t="s">
        <v>203</v>
      </c>
    </row>
    <row r="18" spans="1:1" x14ac:dyDescent="0.25">
      <c r="A18" s="19" t="s">
        <v>204</v>
      </c>
    </row>
    <row r="19" spans="1:1" x14ac:dyDescent="0.25">
      <c r="A19" s="19" t="s">
        <v>205</v>
      </c>
    </row>
    <row r="20" spans="1:1" x14ac:dyDescent="0.25">
      <c r="A20" s="19" t="s">
        <v>206</v>
      </c>
    </row>
    <row r="21" spans="1:1" x14ac:dyDescent="0.25">
      <c r="A21" s="19" t="s">
        <v>207</v>
      </c>
    </row>
    <row r="23" spans="1:1" x14ac:dyDescent="0.25">
      <c r="A23" s="20" t="s">
        <v>208</v>
      </c>
    </row>
    <row r="24" spans="1:1" x14ac:dyDescent="0.25">
      <c r="A24" s="19" t="s">
        <v>209</v>
      </c>
    </row>
    <row r="25" spans="1:1" x14ac:dyDescent="0.25">
      <c r="A25" s="19" t="s">
        <v>210</v>
      </c>
    </row>
    <row r="27" spans="1:1" x14ac:dyDescent="0.25">
      <c r="A27" s="20" t="s">
        <v>211</v>
      </c>
    </row>
    <row r="28" spans="1:1" x14ac:dyDescent="0.25">
      <c r="A28" s="19" t="s">
        <v>212</v>
      </c>
    </row>
    <row r="29" spans="1:1" x14ac:dyDescent="0.25">
      <c r="A29" s="19" t="s">
        <v>213</v>
      </c>
    </row>
    <row r="30" spans="1:1" x14ac:dyDescent="0.25">
      <c r="A30" s="19" t="s">
        <v>214</v>
      </c>
    </row>
    <row r="31" spans="1:1" x14ac:dyDescent="0.25">
      <c r="A31" s="19" t="s">
        <v>215</v>
      </c>
    </row>
    <row r="32" spans="1:1" x14ac:dyDescent="0.25">
      <c r="A32" s="19" t="s">
        <v>216</v>
      </c>
    </row>
    <row r="33" spans="1:1" x14ac:dyDescent="0.25">
      <c r="A33" s="19" t="s">
        <v>217</v>
      </c>
    </row>
    <row r="34" spans="1:1" x14ac:dyDescent="0.25">
      <c r="A34" s="19" t="s">
        <v>218</v>
      </c>
    </row>
    <row r="35" spans="1:1" x14ac:dyDescent="0.25">
      <c r="A35" s="19" t="s">
        <v>219</v>
      </c>
    </row>
    <row r="36" spans="1:1" x14ac:dyDescent="0.25">
      <c r="A36" s="19" t="s">
        <v>220</v>
      </c>
    </row>
    <row r="39" spans="1:1" x14ac:dyDescent="0.25">
      <c r="A39" s="20" t="s">
        <v>221</v>
      </c>
    </row>
    <row r="40" spans="1:1" x14ac:dyDescent="0.25">
      <c r="A40" s="19" t="s">
        <v>222</v>
      </c>
    </row>
    <row r="41" spans="1:1" x14ac:dyDescent="0.25">
      <c r="A41" s="19" t="s">
        <v>223</v>
      </c>
    </row>
    <row r="44" spans="1:1" x14ac:dyDescent="0.25">
      <c r="A44" s="20" t="s">
        <v>224</v>
      </c>
    </row>
    <row r="45" spans="1:1" x14ac:dyDescent="0.25">
      <c r="A45" s="19" t="s">
        <v>225</v>
      </c>
    </row>
    <row r="46" spans="1:1" x14ac:dyDescent="0.25">
      <c r="A46" s="19" t="s">
        <v>226</v>
      </c>
    </row>
    <row r="47" spans="1:1" x14ac:dyDescent="0.25">
      <c r="A47" s="19" t="s">
        <v>227</v>
      </c>
    </row>
    <row r="48" spans="1:1" x14ac:dyDescent="0.25">
      <c r="A48" s="20"/>
    </row>
    <row r="49" spans="1:1" x14ac:dyDescent="0.25">
      <c r="A49" s="19"/>
    </row>
    <row r="50" spans="1:1" x14ac:dyDescent="0.25">
      <c r="A50" s="20" t="s">
        <v>34</v>
      </c>
    </row>
    <row r="51" spans="1:1" x14ac:dyDescent="0.25">
      <c r="A51" s="19" t="s">
        <v>228</v>
      </c>
    </row>
    <row r="52" spans="1:1" x14ac:dyDescent="0.25">
      <c r="A52" s="19" t="s">
        <v>229</v>
      </c>
    </row>
    <row r="53" spans="1:1" x14ac:dyDescent="0.25">
      <c r="A53" s="20" t="s">
        <v>230</v>
      </c>
    </row>
    <row r="54" spans="1:1" x14ac:dyDescent="0.25">
      <c r="A54" s="19" t="s">
        <v>231</v>
      </c>
    </row>
    <row r="55" spans="1:1" x14ac:dyDescent="0.25">
      <c r="A55" s="19" t="s">
        <v>232</v>
      </c>
    </row>
    <row r="56" spans="1:1" x14ac:dyDescent="0.25">
      <c r="A56" s="19" t="s">
        <v>233</v>
      </c>
    </row>
    <row r="57" spans="1:1" x14ac:dyDescent="0.25">
      <c r="A57" s="19" t="s">
        <v>234</v>
      </c>
    </row>
    <row r="58" spans="1:1" x14ac:dyDescent="0.25">
      <c r="A58" s="19" t="s">
        <v>235</v>
      </c>
    </row>
    <row r="59" spans="1:1" x14ac:dyDescent="0.25">
      <c r="A59" s="20"/>
    </row>
    <row r="60" spans="1:1" x14ac:dyDescent="0.25">
      <c r="A60" s="19"/>
    </row>
    <row r="61" spans="1:1" x14ac:dyDescent="0.25">
      <c r="A61" s="20" t="s">
        <v>236</v>
      </c>
    </row>
    <row r="62" spans="1:1" x14ac:dyDescent="0.25">
      <c r="A62" s="19" t="s">
        <v>237</v>
      </c>
    </row>
    <row r="63" spans="1:1" x14ac:dyDescent="0.25">
      <c r="A63" s="19" t="s">
        <v>238</v>
      </c>
    </row>
    <row r="64" spans="1:1" x14ac:dyDescent="0.25">
      <c r="A64" s="20" t="s">
        <v>239</v>
      </c>
    </row>
    <row r="65" spans="1:1" x14ac:dyDescent="0.25">
      <c r="A65" s="20" t="s">
        <v>240</v>
      </c>
    </row>
    <row r="66" spans="1:1" x14ac:dyDescent="0.25">
      <c r="A66" s="19"/>
    </row>
    <row r="67" spans="1:1" x14ac:dyDescent="0.25">
      <c r="A67" s="20" t="s">
        <v>241</v>
      </c>
    </row>
    <row r="68" spans="1:1" x14ac:dyDescent="0.25">
      <c r="A68" s="19" t="s">
        <v>242</v>
      </c>
    </row>
    <row r="69" spans="1:1" x14ac:dyDescent="0.25">
      <c r="A69" s="19" t="s">
        <v>243</v>
      </c>
    </row>
    <row r="70" spans="1:1" x14ac:dyDescent="0.25">
      <c r="A70" s="20" t="s">
        <v>244</v>
      </c>
    </row>
    <row r="71" spans="1:1" x14ac:dyDescent="0.25">
      <c r="A71" s="19" t="s">
        <v>245</v>
      </c>
    </row>
    <row r="72" spans="1:1" x14ac:dyDescent="0.25">
      <c r="A72" s="20" t="s">
        <v>246</v>
      </c>
    </row>
    <row r="73" spans="1:1" x14ac:dyDescent="0.25">
      <c r="A73" s="19"/>
    </row>
    <row r="74" spans="1:1" x14ac:dyDescent="0.25">
      <c r="A74" s="20" t="s">
        <v>247</v>
      </c>
    </row>
    <row r="75" spans="1:1" x14ac:dyDescent="0.25">
      <c r="A75" s="19" t="s">
        <v>248</v>
      </c>
    </row>
    <row r="76" spans="1:1" x14ac:dyDescent="0.25">
      <c r="A76" s="20" t="s">
        <v>249</v>
      </c>
    </row>
    <row r="77" spans="1:1" x14ac:dyDescent="0.25">
      <c r="A77" s="19" t="s">
        <v>250</v>
      </c>
    </row>
    <row r="78" spans="1:1" x14ac:dyDescent="0.25">
      <c r="A78" s="20" t="s">
        <v>251</v>
      </c>
    </row>
    <row r="79" spans="1:1" x14ac:dyDescent="0.25">
      <c r="A79" s="19"/>
    </row>
    <row r="80" spans="1:1" x14ac:dyDescent="0.25">
      <c r="A80" s="20" t="s">
        <v>252</v>
      </c>
    </row>
    <row r="81" spans="1:1" x14ac:dyDescent="0.25">
      <c r="A81" s="19" t="s">
        <v>253</v>
      </c>
    </row>
    <row r="82" spans="1:1" x14ac:dyDescent="0.25">
      <c r="A82" s="19" t="s">
        <v>254</v>
      </c>
    </row>
    <row r="83" spans="1:1" x14ac:dyDescent="0.25">
      <c r="A83" s="19" t="s">
        <v>255</v>
      </c>
    </row>
    <row r="84" spans="1:1" x14ac:dyDescent="0.25">
      <c r="A84" s="20" t="s">
        <v>256</v>
      </c>
    </row>
    <row r="85" spans="1:1" x14ac:dyDescent="0.25">
      <c r="A85" s="19" t="s">
        <v>257</v>
      </c>
    </row>
    <row r="86" spans="1:1" x14ac:dyDescent="0.25">
      <c r="A86" s="20" t="s">
        <v>258</v>
      </c>
    </row>
    <row r="87" spans="1:1" x14ac:dyDescent="0.25">
      <c r="A87" s="19"/>
    </row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DC9EE-51B4-4239-9084-660B5363609C}">
  <sheetPr codeName="Sheet11"/>
  <dimension ref="A1:N5"/>
  <sheetViews>
    <sheetView tabSelected="1" workbookViewId="0">
      <selection activeCell="N12" sqref="N12"/>
    </sheetView>
  </sheetViews>
  <sheetFormatPr defaultRowHeight="15" x14ac:dyDescent="0.25"/>
  <cols>
    <col min="1" max="1" width="10.42578125" style="3" bestFit="1" customWidth="1"/>
    <col min="2" max="2" width="7" bestFit="1" customWidth="1"/>
    <col min="3" max="3" width="22.42578125" bestFit="1" customWidth="1"/>
    <col min="5" max="5" width="18.85546875" bestFit="1" customWidth="1"/>
  </cols>
  <sheetData>
    <row r="1" spans="1:14" x14ac:dyDescent="0.25">
      <c r="A1" t="s">
        <v>137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144</v>
      </c>
      <c r="I1" t="s">
        <v>145</v>
      </c>
      <c r="J1" t="s">
        <v>146</v>
      </c>
      <c r="K1" t="s">
        <v>147</v>
      </c>
      <c r="L1" t="s">
        <v>148</v>
      </c>
      <c r="M1" s="4" t="s">
        <v>149</v>
      </c>
      <c r="N1" s="4">
        <v>2</v>
      </c>
    </row>
    <row r="2" spans="1:14" x14ac:dyDescent="0.25">
      <c r="A2" s="3">
        <v>46064</v>
      </c>
      <c r="B2" t="s">
        <v>55</v>
      </c>
      <c r="C2" t="s">
        <v>288</v>
      </c>
      <c r="D2" s="2">
        <v>0.35416666666666669</v>
      </c>
      <c r="E2" t="s">
        <v>150</v>
      </c>
      <c r="F2" t="b">
        <f>TRUE</f>
        <v>1</v>
      </c>
      <c r="G2">
        <v>3</v>
      </c>
      <c r="H2">
        <v>0.3</v>
      </c>
      <c r="I2">
        <v>0.4</v>
      </c>
      <c r="J2">
        <v>0.1</v>
      </c>
      <c r="K2" t="s">
        <v>289</v>
      </c>
    </row>
    <row r="3" spans="1:14" x14ac:dyDescent="0.25">
      <c r="A3" s="3">
        <v>46064</v>
      </c>
      <c r="B3" t="s">
        <v>55</v>
      </c>
      <c r="C3" t="s">
        <v>290</v>
      </c>
      <c r="D3" s="2">
        <v>0.35416666666666669</v>
      </c>
      <c r="E3" t="s">
        <v>150</v>
      </c>
      <c r="F3" t="b">
        <f>TRUE</f>
        <v>1</v>
      </c>
      <c r="G3">
        <v>3</v>
      </c>
      <c r="H3" s="11">
        <v>66000</v>
      </c>
      <c r="I3">
        <v>130000</v>
      </c>
      <c r="J3" s="11">
        <v>48000</v>
      </c>
    </row>
    <row r="4" spans="1:14" x14ac:dyDescent="0.25">
      <c r="A4" s="3">
        <v>46064</v>
      </c>
      <c r="B4" t="s">
        <v>55</v>
      </c>
      <c r="C4" t="s">
        <v>291</v>
      </c>
      <c r="D4" s="2">
        <v>0.35416666666666669</v>
      </c>
      <c r="E4" t="s">
        <v>150</v>
      </c>
      <c r="F4" t="b">
        <v>1</v>
      </c>
      <c r="G4">
        <v>3</v>
      </c>
      <c r="H4">
        <v>4.4000000000000004</v>
      </c>
      <c r="I4">
        <v>4.3</v>
      </c>
      <c r="J4">
        <v>4.4000000000000004</v>
      </c>
    </row>
    <row r="5" spans="1:14" x14ac:dyDescent="0.25">
      <c r="A5" s="3">
        <v>46065</v>
      </c>
      <c r="B5" t="s">
        <v>58</v>
      </c>
      <c r="C5" t="s">
        <v>293</v>
      </c>
      <c r="D5" s="2">
        <v>0.375</v>
      </c>
      <c r="E5" t="s">
        <v>294</v>
      </c>
      <c r="F5" t="b">
        <f>TRUE</f>
        <v>1</v>
      </c>
      <c r="G5">
        <v>3</v>
      </c>
      <c r="H5">
        <v>2.5</v>
      </c>
      <c r="I5">
        <v>2.2000000000000002</v>
      </c>
      <c r="J5">
        <v>2.5</v>
      </c>
      <c r="K5" t="s">
        <v>289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CC371-B516-4561-948E-51F090092148}">
  <sheetPr codeName="Sheet12"/>
  <dimension ref="A1:D2"/>
  <sheetViews>
    <sheetView workbookViewId="0">
      <selection activeCell="Q25" sqref="Q25"/>
    </sheetView>
  </sheetViews>
  <sheetFormatPr defaultRowHeight="15" x14ac:dyDescent="0.25"/>
  <sheetData>
    <row r="1" spans="1:4" x14ac:dyDescent="0.25">
      <c r="A1" t="s">
        <v>36</v>
      </c>
      <c r="B1" t="s">
        <v>151</v>
      </c>
      <c r="C1" t="s">
        <v>35</v>
      </c>
      <c r="D1" t="s">
        <v>142</v>
      </c>
    </row>
    <row r="2" spans="1:4" x14ac:dyDescent="0.25">
      <c r="A2" t="s">
        <v>41</v>
      </c>
      <c r="B2" t="s">
        <v>152</v>
      </c>
      <c r="C2" t="s">
        <v>40</v>
      </c>
      <c r="D2" t="b">
        <f>TRUE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Curve_US</vt:lpstr>
      <vt:lpstr>Curve_CA</vt:lpstr>
      <vt:lpstr>FX_G10</vt:lpstr>
      <vt:lpstr>Calendar_Yday</vt:lpstr>
      <vt:lpstr>Calendar_Today</vt:lpstr>
      <vt:lpstr>Headlines</vt:lpstr>
      <vt:lpstr>Predictive_Outlook</vt:lpstr>
      <vt:lpstr>Rates_DV01</vt:lpstr>
      <vt:lpstr>FX_MM_Sim</vt:lpstr>
      <vt:lpstr>Desk_Commentary</vt:lpstr>
      <vt:lpstr>Macro_Events</vt:lpstr>
      <vt:lpstr>RSS_Feeds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Zuriel Samdi</dc:creator>
  <cp:lastModifiedBy>Zuriel Samdi</cp:lastModifiedBy>
  <dcterms:created xsi:type="dcterms:W3CDTF">2026-01-25T22:35:57Z</dcterms:created>
  <dcterms:modified xsi:type="dcterms:W3CDTF">2026-02-12T13:31:20Z</dcterms:modified>
</cp:coreProperties>
</file>