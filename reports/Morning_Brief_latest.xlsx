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10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  <sheet name="Macro_Events" sheetId="11" state="visible" r:id="rId11"/>
    <sheet name="RSS_Feed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;@"/>
    <numFmt numFmtId="165" formatCode="0.0"/>
    <numFmt numFmtId="166" formatCode="0.0000"/>
    <numFmt numFmtId="167" formatCode="0.00000"/>
  </numFmts>
  <fonts count="9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2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left" vertical="center"/>
    </xf>
    <xf numFmtId="165" fontId="0" fillId="0" borderId="2" applyAlignment="1" pivotButton="0" quotePrefix="0" xfId="0">
      <alignment horizontal="left" vertical="center"/>
    </xf>
    <xf numFmtId="166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1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2" fontId="7" fillId="3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left" vertical="center"/>
    </xf>
    <xf numFmtId="167" fontId="0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left" vertical="center"/>
    </xf>
    <xf numFmtId="165" fontId="0" fillId="0" borderId="2" applyAlignment="1" pivotButton="0" quotePrefix="0" xfId="0">
      <alignment horizontal="left" vertical="center"/>
    </xf>
    <xf numFmtId="166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1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2" fontId="7" fillId="3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67" fontId="0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left" vertical="center"/>
    </xf>
    <xf numFmtId="165" fontId="0" fillId="0" borderId="2" applyAlignment="1" pivotButton="0" quotePrefix="0" xfId="0">
      <alignment horizontal="left" vertical="center"/>
    </xf>
    <xf numFmtId="166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1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2" fontId="7" fillId="3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67" fontId="0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C22" sqref="C22"/>
    </sheetView>
  </sheetViews>
  <sheetFormatPr baseColWidth="8" defaultRowHeight="15" outlineLevelCol="0"/>
  <cols>
    <col width="10" customWidth="1" min="1" max="1"/>
    <col width="11" customWidth="1" min="2" max="2"/>
    <col width="21" customWidth="1" min="3" max="3"/>
    <col width="12" customWidth="1" min="4" max="4"/>
  </cols>
  <sheetData>
    <row r="1">
      <c r="A1" s="18" t="inlineStr">
        <is>
          <t>Tenor</t>
        </is>
      </c>
      <c r="B1" s="18" t="inlineStr">
        <is>
          <t>Yield (%)</t>
        </is>
      </c>
      <c r="C1" s="18" t="inlineStr">
        <is>
          <t>Chg (bp)</t>
        </is>
      </c>
      <c r="D1" s="18" t="inlineStr">
        <is>
          <t>As of</t>
        </is>
      </c>
    </row>
    <row r="2">
      <c r="A2" s="48" t="inlineStr">
        <is>
          <t>1M</t>
        </is>
      </c>
      <c r="B2" s="49" t="n">
        <v>3.72</v>
      </c>
      <c r="C2" s="50" t="n">
        <v>0</v>
      </c>
      <c r="D2" s="48" t="inlineStr">
        <is>
          <t>2026-02-10</t>
        </is>
      </c>
    </row>
    <row r="3">
      <c r="A3" s="48" t="inlineStr">
        <is>
          <t>3M</t>
        </is>
      </c>
      <c r="B3" s="49" t="n">
        <v>3.69</v>
      </c>
      <c r="C3" s="50" t="n">
        <v>0</v>
      </c>
      <c r="D3" s="48" t="inlineStr">
        <is>
          <t>2026-02-10</t>
        </is>
      </c>
    </row>
    <row r="4">
      <c r="A4" s="48" t="inlineStr">
        <is>
          <t>6M</t>
        </is>
      </c>
      <c r="B4" s="49" t="n">
        <v>3.58</v>
      </c>
      <c r="C4" s="50" t="n">
        <v>-0.9999999999999787</v>
      </c>
      <c r="D4" s="48" t="inlineStr">
        <is>
          <t>2026-02-10</t>
        </is>
      </c>
    </row>
    <row r="5">
      <c r="A5" s="48" t="inlineStr">
        <is>
          <t>1Y</t>
        </is>
      </c>
      <c r="B5" s="49" t="n">
        <v>3.4</v>
      </c>
      <c r="C5" s="50" t="n">
        <v>-3.000000000000025</v>
      </c>
      <c r="D5" s="48" t="inlineStr">
        <is>
          <t>2026-02-10</t>
        </is>
      </c>
    </row>
    <row r="6">
      <c r="A6" s="48" t="inlineStr">
        <is>
          <t>2Y</t>
        </is>
      </c>
      <c r="B6" s="49" t="n">
        <v>3.45</v>
      </c>
      <c r="C6" s="50" t="n">
        <v>-2.99999999999998</v>
      </c>
      <c r="D6" s="48" t="inlineStr">
        <is>
          <t>2026-02-10</t>
        </is>
      </c>
    </row>
    <row r="7">
      <c r="A7" s="48" t="inlineStr">
        <is>
          <t>3Y</t>
        </is>
      </c>
      <c r="B7" s="49" t="n">
        <v>3.5</v>
      </c>
      <c r="C7" s="50" t="n">
        <v>-6.000000000000005</v>
      </c>
      <c r="D7" s="48" t="inlineStr">
        <is>
          <t>2026-02-10</t>
        </is>
      </c>
    </row>
    <row r="8">
      <c r="A8" s="48" t="inlineStr">
        <is>
          <t>5Y</t>
        </is>
      </c>
      <c r="B8" s="49" t="n">
        <v>3.7</v>
      </c>
      <c r="C8" s="50" t="n">
        <v>-4.999999999999982</v>
      </c>
      <c r="D8" s="48" t="inlineStr">
        <is>
          <t>2026-02-10</t>
        </is>
      </c>
    </row>
    <row r="9">
      <c r="A9" s="48" t="inlineStr">
        <is>
          <t>7Y</t>
        </is>
      </c>
      <c r="B9" s="49" t="n">
        <v>3.92</v>
      </c>
      <c r="C9" s="50" t="n">
        <v>-5.000000000000027</v>
      </c>
      <c r="D9" s="48" t="inlineStr">
        <is>
          <t>2026-02-10</t>
        </is>
      </c>
    </row>
    <row r="10">
      <c r="A10" s="48" t="inlineStr">
        <is>
          <t>10Y</t>
        </is>
      </c>
      <c r="B10" s="49" t="n">
        <v>4.16</v>
      </c>
      <c r="C10" s="50" t="n">
        <v>-5.999999999999961</v>
      </c>
      <c r="D10" s="48" t="inlineStr">
        <is>
          <t>2026-02-10</t>
        </is>
      </c>
    </row>
    <row r="11">
      <c r="A11" s="48" t="inlineStr">
        <is>
          <t>20Y</t>
        </is>
      </c>
      <c r="B11" s="49" t="n">
        <v>4.73</v>
      </c>
      <c r="C11" s="50" t="n">
        <v>-5.999999999999961</v>
      </c>
      <c r="D11" s="48" t="inlineStr">
        <is>
          <t>2026-02-10</t>
        </is>
      </c>
    </row>
    <row r="12">
      <c r="A12" s="48" t="inlineStr">
        <is>
          <t>30Y</t>
        </is>
      </c>
      <c r="B12" s="49" t="n">
        <v>4.78</v>
      </c>
      <c r="C12" s="50" t="n">
        <v>-6.99999999999994</v>
      </c>
      <c r="D12" s="48" t="inlineStr">
        <is>
          <t>2026-02-10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6" sqref="A16"/>
    </sheetView>
  </sheetViews>
  <sheetFormatPr baseColWidth="8" defaultRowHeight="15" outlineLevelCol="0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8" t="inlineStr">
        <is>
          <t>Tenor</t>
        </is>
      </c>
      <c r="B1" s="18" t="inlineStr">
        <is>
          <t>Yield (%)</t>
        </is>
      </c>
      <c r="C1" s="18" t="inlineStr">
        <is>
          <t>Chg (bp)</t>
        </is>
      </c>
      <c r="D1" s="18" t="inlineStr">
        <is>
          <t>As of</t>
        </is>
      </c>
    </row>
    <row r="2">
      <c r="A2" s="48" t="inlineStr">
        <is>
          <t>3M</t>
        </is>
      </c>
      <c r="B2" s="49" t="n">
        <v>2.19</v>
      </c>
      <c r="C2" s="50" t="n">
        <v>0</v>
      </c>
      <c r="D2" s="48" t="inlineStr">
        <is>
          <t>2026-02-10</t>
        </is>
      </c>
    </row>
    <row r="3">
      <c r="A3" s="48" t="inlineStr">
        <is>
          <t>6M</t>
        </is>
      </c>
      <c r="B3" s="49" t="n">
        <v>2.25</v>
      </c>
      <c r="C3" s="50" t="n">
        <v>-0.9999999999999787</v>
      </c>
      <c r="D3" s="48" t="inlineStr">
        <is>
          <t>2026-02-10</t>
        </is>
      </c>
    </row>
    <row r="4">
      <c r="A4" s="48" t="inlineStr">
        <is>
          <t>1Y</t>
        </is>
      </c>
      <c r="B4" s="49" t="n">
        <v>2.35</v>
      </c>
      <c r="C4" s="50" t="n">
        <v>-2.99999999999998</v>
      </c>
      <c r="D4" s="48" t="inlineStr">
        <is>
          <t>2026-02-10</t>
        </is>
      </c>
    </row>
    <row r="5">
      <c r="A5" s="48" t="inlineStr">
        <is>
          <t>2Y</t>
        </is>
      </c>
      <c r="B5" s="49" t="n">
        <v>2.52</v>
      </c>
      <c r="C5" s="50" t="n">
        <v>-0.9999999999999787</v>
      </c>
      <c r="D5" s="48" t="inlineStr">
        <is>
          <t>2026-02-11</t>
        </is>
      </c>
    </row>
    <row r="6">
      <c r="A6" s="48" t="inlineStr">
        <is>
          <t>3Y</t>
        </is>
      </c>
      <c r="B6" s="49" t="n">
        <v>2.45</v>
      </c>
      <c r="C6" s="50" t="n">
        <v>-0.9999999999999787</v>
      </c>
      <c r="D6" s="48" t="inlineStr">
        <is>
          <t>2026-02-11</t>
        </is>
      </c>
    </row>
    <row r="7">
      <c r="A7" s="48" t="inlineStr">
        <is>
          <t>5Y</t>
        </is>
      </c>
      <c r="B7" s="49" t="n">
        <v>2.87</v>
      </c>
      <c r="C7" s="50" t="n">
        <v>-2.000000000000002</v>
      </c>
      <c r="D7" s="48" t="inlineStr">
        <is>
          <t>2026-02-11</t>
        </is>
      </c>
    </row>
    <row r="8">
      <c r="A8" s="48" t="inlineStr">
        <is>
          <t>7Y</t>
        </is>
      </c>
      <c r="B8" s="49" t="n">
        <v>3.01</v>
      </c>
      <c r="C8" s="50" t="n">
        <v>-2.000000000000002</v>
      </c>
      <c r="D8" s="48" t="inlineStr">
        <is>
          <t>2026-02-11</t>
        </is>
      </c>
    </row>
    <row r="9">
      <c r="A9" s="48" t="inlineStr">
        <is>
          <t>10Y</t>
        </is>
      </c>
      <c r="B9" s="49" t="n">
        <v>3.34</v>
      </c>
      <c r="C9" s="50" t="n">
        <v>-2.000000000000002</v>
      </c>
      <c r="D9" s="48" t="inlineStr">
        <is>
          <t>2026-02-11</t>
        </is>
      </c>
    </row>
    <row r="10"/>
    <row r="11"/>
    <row r="12">
      <c r="A12" s="18" t="inlineStr">
        <is>
          <t>Spread</t>
        </is>
      </c>
      <c r="B12" s="18" t="inlineStr">
        <is>
          <t>bp</t>
        </is>
      </c>
    </row>
    <row r="13">
      <c r="A13" s="48" t="inlineStr">
        <is>
          <t>US–CA 2Y</t>
        </is>
      </c>
      <c r="B13" s="50" t="n">
        <v>93.00000000000001</v>
      </c>
    </row>
    <row r="14">
      <c r="A14" s="48" t="inlineStr">
        <is>
          <t>US–CA 5Y</t>
        </is>
      </c>
      <c r="B14" s="50" t="n">
        <v>83</v>
      </c>
    </row>
    <row r="15">
      <c r="A15" s="48" t="inlineStr">
        <is>
          <t>US–CA 10Y</t>
        </is>
      </c>
      <c r="B15" s="50" t="n">
        <v>82.00000000000003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C20" sqref="C20"/>
    </sheetView>
  </sheetViews>
  <sheetFormatPr baseColWidth="8" defaultRowHeight="15" outlineLevelCol="0"/>
  <cols>
    <col width="10" customWidth="1" min="1" max="1"/>
    <col width="20" customWidth="1" min="2" max="2"/>
    <col width="23" customWidth="1" min="3" max="3"/>
    <col width="12" customWidth="1" min="4" max="4"/>
  </cols>
  <sheetData>
    <row r="1">
      <c r="A1" s="18" t="inlineStr">
        <is>
          <t>Pair</t>
        </is>
      </c>
      <c r="B1" s="18" t="inlineStr">
        <is>
          <t>Last</t>
        </is>
      </c>
      <c r="C1" s="18" t="inlineStr">
        <is>
          <t>Chg (%)</t>
        </is>
      </c>
      <c r="D1" s="18" t="inlineStr">
        <is>
          <t>As of</t>
        </is>
      </c>
    </row>
    <row r="2">
      <c r="A2" s="48" t="inlineStr">
        <is>
          <t>EURUSD</t>
        </is>
      </c>
      <c r="B2" s="51" t="n">
        <v>1.188636660575867</v>
      </c>
      <c r="C2" s="49" t="n">
        <v>-0.02734181601393715</v>
      </c>
      <c r="D2" s="48" t="inlineStr">
        <is>
          <t>2026-02-12</t>
        </is>
      </c>
    </row>
    <row r="3">
      <c r="A3" s="48" t="inlineStr">
        <is>
          <t>GBPUSD</t>
        </is>
      </c>
      <c r="B3" s="51" t="n">
        <v>1.366157531738281</v>
      </c>
      <c r="C3" s="49" t="n">
        <v>0.198093937111965</v>
      </c>
      <c r="D3" s="48" t="inlineStr">
        <is>
          <t>2026-02-12</t>
        </is>
      </c>
    </row>
    <row r="4">
      <c r="A4" s="48" t="inlineStr">
        <is>
          <t>AUDUSD</t>
        </is>
      </c>
      <c r="B4" s="51" t="n">
        <v>0.7136739492416382</v>
      </c>
      <c r="C4" s="49" t="n">
        <v>0.8755266947559237</v>
      </c>
      <c r="D4" s="48" t="inlineStr">
        <is>
          <t>2026-02-12</t>
        </is>
      </c>
    </row>
    <row r="5">
      <c r="A5" s="48" t="inlineStr">
        <is>
          <t>NZDUSD</t>
        </is>
      </c>
      <c r="B5" s="51" t="n">
        <v>0.6070539355278015</v>
      </c>
      <c r="C5" s="49" t="n">
        <v>0.4771361099713767</v>
      </c>
      <c r="D5" s="48" t="inlineStr">
        <is>
          <t>2026-02-12</t>
        </is>
      </c>
    </row>
    <row r="6">
      <c r="A6" s="48" t="inlineStr">
        <is>
          <t>USDCAD</t>
        </is>
      </c>
      <c r="B6" s="51" t="n">
        <v>1.355200052261353</v>
      </c>
      <c r="C6" s="49" t="n">
        <v>-0.0752056949591573</v>
      </c>
      <c r="D6" s="48" t="inlineStr">
        <is>
          <t>2026-02-11</t>
        </is>
      </c>
    </row>
    <row r="7">
      <c r="A7" s="48" t="inlineStr">
        <is>
          <t>USDJPY</t>
        </is>
      </c>
      <c r="B7" s="51" t="n">
        <v>154.4819946289062</v>
      </c>
      <c r="C7" s="49" t="n">
        <v>-1.056803932110062</v>
      </c>
      <c r="D7" s="48" t="inlineStr">
        <is>
          <t>2026-02-11</t>
        </is>
      </c>
    </row>
    <row r="8">
      <c r="A8" s="48" t="inlineStr">
        <is>
          <t>USDCHF</t>
        </is>
      </c>
      <c r="B8" s="51" t="n">
        <v>0.7685700058937073</v>
      </c>
      <c r="C8" s="49" t="n">
        <v>0.1890189522443242</v>
      </c>
      <c r="D8" s="48" t="inlineStr">
        <is>
          <t>2026-02-11</t>
        </is>
      </c>
    </row>
    <row r="9">
      <c r="A9" s="48" t="inlineStr">
        <is>
          <t>USDNOK</t>
        </is>
      </c>
      <c r="B9" s="51" t="n">
        <v>9.514320373535156</v>
      </c>
      <c r="C9" s="49" t="n">
        <v>-0.6601851338308484</v>
      </c>
      <c r="D9" s="48" t="inlineStr">
        <is>
          <t>2026-02-11</t>
        </is>
      </c>
    </row>
    <row r="10">
      <c r="A10" s="48" t="inlineStr">
        <is>
          <t>USDSEK</t>
        </is>
      </c>
      <c r="B10" s="51" t="n">
        <v>8.885109901428223</v>
      </c>
      <c r="C10" s="49" t="n">
        <v>-0.3994088565046683</v>
      </c>
      <c r="D10" s="48" t="inlineStr">
        <is>
          <t>2026-02-11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4" topLeftCell="A5" activePane="bottomLeft" state="frozen"/>
      <selection pane="bottomLeft" activeCell="W14" sqref="W14"/>
    </sheetView>
  </sheetViews>
  <sheetFormatPr baseColWidth="8" defaultRowHeight="15" outlineLevelCol="0"/>
  <cols>
    <col width="35" customWidth="1" min="1" max="1"/>
    <col width="10" customWidth="1" min="2" max="2"/>
    <col width="22" customWidth="1" min="3" max="3"/>
    <col width="45" customWidth="1" min="4" max="5"/>
    <col width="45" customWidth="1" min="5" max="5"/>
  </cols>
  <sheetData>
    <row r="1">
      <c r="A1" s="53" t="inlineStr">
        <is>
          <t>Headlines</t>
        </is>
      </c>
    </row>
    <row r="2">
      <c r="A2" s="52" t="inlineStr">
        <is>
          <t>Last Updated: 2026-02-12 09:37:51</t>
        </is>
      </c>
    </row>
    <row r="3"/>
    <row r="4">
      <c r="A4" s="18" t="inlineStr">
        <is>
          <t>Category</t>
        </is>
      </c>
      <c r="B4" s="18" t="inlineStr">
        <is>
          <t>Source</t>
        </is>
      </c>
      <c r="C4" s="18" t="inlineStr">
        <is>
          <t>Published</t>
        </is>
      </c>
      <c r="D4" s="18" t="inlineStr">
        <is>
          <t>Title</t>
        </is>
      </c>
      <c r="E4" s="18" t="inlineStr">
        <is>
          <t>Link</t>
        </is>
      </c>
    </row>
    <row r="5">
      <c r="A5" s="48" t="inlineStr">
        <is>
          <t>Markets</t>
        </is>
      </c>
      <c r="B5" s="48" t="inlineStr">
        <is>
          <t>Reuters</t>
        </is>
      </c>
      <c r="C5" s="48" t="inlineStr">
        <is>
          <t>2026-02-12 05:04 UTC</t>
        </is>
      </c>
      <c r="D5" s="48" t="inlineStr">
        <is>
          <t>Erratic US is spurring 'middle powers' into action and investors are noticing - Reuters</t>
        </is>
      </c>
      <c r="E5" s="48" t="inlineStr">
        <is>
          <t>https://news.google.com/rss/articles/CBMivgFBVV95cUxQeDV4dFYzNFUxR3pQalkwT0F2X1FPaFNxQ180UGdNMEl3Q1oxOHI3R1otOVdMQjRGbG5UMUZWekhRNTU3ck1fR0RwSEtsRGlpZG02SGZYMkhBM1dWU05yQmhjQ0tTaHhlNXBPcnNNQTZYTzhMS1pyUzZIR3c4bmotMUk3amRlUTRQcWZ3N2FjeEZYb3hEVlNlcV9jRjhqNW84d0Vkbmd5ZVRIOE0xaVZOM3dPYUF3dkxGRkYwc09n?oc=5</t>
        </is>
      </c>
    </row>
    <row r="6">
      <c r="A6" s="48" t="inlineStr">
        <is>
          <t>Markets</t>
        </is>
      </c>
      <c r="B6" s="48" t="inlineStr">
        <is>
          <t>Reuters</t>
        </is>
      </c>
      <c r="C6" s="48" t="inlineStr">
        <is>
          <t>2026-02-12 02:01 UTC</t>
        </is>
      </c>
      <c r="D6" s="48" t="inlineStr">
        <is>
          <t>Gold eases as strong US jobs data dims Fed rate‑cut hopes - Reuters</t>
        </is>
      </c>
      <c r="E6" s="48" t="inlineStr">
        <is>
          <t>https://news.google.com/rss/articles/CBMipAFBVV95cUxPelo0N3JjSFIxdjlaWVhWTjVsNjJGbUl6N0V5UnRjNWQ5b3Y4eDhzcVZ0OEpZOUVBQjZKX0t5U2Z4LTdRS2F5Q2F1alhCdUdXTXREQ3Y1N2lnQklnLUhJbk9TdHdleThCNmdJRV9teXZmOHVab1ZQa3dVUDgzSVozOFpHUDZWS0d5RTRqRWlIT1ZmTExnODVZUlY1NGNZMDZsb2l2TA?oc=5</t>
        </is>
      </c>
    </row>
    <row r="7">
      <c r="A7" s="48" t="inlineStr">
        <is>
          <t>Markets</t>
        </is>
      </c>
      <c r="B7" s="48" t="inlineStr">
        <is>
          <t>Reuters</t>
        </is>
      </c>
      <c r="C7" s="48" t="inlineStr">
        <is>
          <t>2026-02-11 22:03 UTC</t>
        </is>
      </c>
      <c r="D7" s="48" t="inlineStr">
        <is>
          <t>Why Japan's emboldened PM won't toy with risks of a weak yen - Reuters</t>
        </is>
      </c>
      <c r="E7" s="48" t="inlineStr">
        <is>
          <t>https://news.google.com/rss/articles/CBMirAFBVV95cUxPSzFLeFdZLXBBSldweWQzVTJVcEE1TG5IbF9IM2h2YmFwTzhEc3VZdTQ3WEw2d1lIX2poZTlvREhjNmtWWEVmaVZIbGZFOFpfeVlQS2VScGo0cl8yT0Fwb1licTNoQVlMR05RVW1GOHdiZUt4TC1yZ3A4cVkzYzd4YTd4dENjQ2Q4QUc2SzRTMXNYNEVPNXhfSTFNUXRhOW5HNlh3WFRLcHctQ0Fj?oc=5</t>
        </is>
      </c>
    </row>
    <row r="8">
      <c r="A8" s="48" t="inlineStr">
        <is>
          <t>Markets</t>
        </is>
      </c>
      <c r="B8" s="48" t="inlineStr">
        <is>
          <t>Reuters</t>
        </is>
      </c>
      <c r="C8" s="48" t="inlineStr">
        <is>
          <t>2026-02-11 14:06 UTC</t>
        </is>
      </c>
      <c r="D8" s="48" t="inlineStr">
        <is>
          <t>US jobs beat for January affirms steady Fed view - Reuters</t>
        </is>
      </c>
      <c r="E8" s="48" t="inlineStr">
        <is>
          <t>https://news.google.com/rss/articles/CBMimgFBVV95cUxNX2pBVWJHZUJPVDFJX0FoODg5U0xDdHVVc05BaW5fd2EyNDFHRldJUTZ6bDlkYWxWamYwa045RmFvOEdhOFJ0UlQxd2hSZzZ5bF9XdWpwUjhyVExsSElHZlVJdXFsZkhEYzFZS1BKWmpHSkhwUWsyaDNPLWVIa1BDYUFzbUV3T1lxZnBfdk9OLS14VEVhNC01OVlR?oc=5</t>
        </is>
      </c>
    </row>
    <row r="9">
      <c r="A9" s="48" t="inlineStr">
        <is>
          <t>Markets</t>
        </is>
      </c>
      <c r="B9" s="48" t="inlineStr">
        <is>
          <t>Reuters</t>
        </is>
      </c>
      <c r="C9" s="48" t="inlineStr">
        <is>
          <t>2026-02-11 10:55 UTC</t>
        </is>
      </c>
      <c r="D9" s="48" t="inlineStr">
        <is>
          <t>Fed to hold rates through May, but Warsh may be too loose with policy, economists say - Reuters</t>
        </is>
      </c>
      <c r="E9" s="48" t="inlineStr">
        <is>
          <t>https://news.google.com/rss/articles/CBMivgFBVV95cUxOSzRvcE5HeTBZZGtwTTRWVl9hY2RGZ3ZaVlhNWmNCWGlDSkh5VFdmaXlHbVRuZ1NJQXRRV1VsREFuQl9mX3huRjladGhNdm81bWxBTklkOEpTZk4zOGFIVi1wOFZPME82cUFuQzJnSTFZWXVXMm14cDZvVi1OMFQzZHVjVnVrdmZjQUNWLUdMYXBHblZkdkNfaDZDY1JCQmVHbEZ5WFRJWWRXX1BJNFAtdlhCZ1ozMmZoLWk5bjBR?oc=5</t>
        </is>
      </c>
    </row>
    <row r="10">
      <c r="A10" s="48" t="inlineStr">
        <is>
          <t>Markets</t>
        </is>
      </c>
      <c r="B10" s="48" t="inlineStr">
        <is>
          <t>Reuters</t>
        </is>
      </c>
      <c r="C10" s="48" t="inlineStr">
        <is>
          <t>2026-02-11 10:44 UTC</t>
        </is>
      </c>
      <c r="D10" s="48" t="inlineStr">
        <is>
          <t>Wall Street ends muted after strong jobs data nibbles at Fed rate cut bets - Reuters</t>
        </is>
      </c>
      <c r="E10" s="48" t="inlineStr">
        <is>
          <t>https://news.google.com/rss/articles/CBMingFBVV95cUxQVHF3czNHSlNoeWRuTU5saFUzcVBaSGZqRGVYbl9CSTRzWlRoaTZERG8tX0JjWXFkaW5kb1pjby15Rk5ZWl8yMy1vZURySXJlOElIZTV0akxaWUtnclkxemZfWVN6WUpwY2ZVY2dSMHlRRkhrVnd0Y3FoRzRPUkp6Qy1tVkF2YU5pTVpPQWF0MlpFdW9GZk9sT3VRT0JIdw?oc=5</t>
        </is>
      </c>
    </row>
    <row r="11">
      <c r="A11" s="48" t="inlineStr">
        <is>
          <t>Markets</t>
        </is>
      </c>
      <c r="B11" s="48" t="inlineStr">
        <is>
          <t>Reuters</t>
        </is>
      </c>
      <c r="C11" s="48" t="inlineStr">
        <is>
          <t>2026-02-11 06:29 UTC</t>
        </is>
      </c>
      <c r="D11" s="48" t="inlineStr">
        <is>
          <t>US turns multilateral in search of critical mineral security - Reuters</t>
        </is>
      </c>
      <c r="E11" s="48" t="inlineStr">
        <is>
          <t>https://news.google.com/rss/articles/CBMirwFBVV95cUxOckRoV01FQzN0YjhyU0dmWksxTWJDN0tVWnRJcWVOUEdTeWdNbi1BUzVQLVowR25qZS02U2U4eTU3bllTRlZiY0Zad2FZdkdGOTFNWWJfUU1MUVI1MS1hbDFNWDNrUk5TZHdnem1xaVpWb3dkUTlqVlZzclZ1WW04MUpPLTRYTndEU0V1ckZmNko0bFY1aXZCZ3NtVXJEdnBub1RmREh1NnY3Z3VtenpN?oc=5</t>
        </is>
      </c>
    </row>
    <row r="12">
      <c r="A12" s="48" t="inlineStr">
        <is>
          <t>Markets</t>
        </is>
      </c>
      <c r="B12" s="48" t="inlineStr">
        <is>
          <t>Reuters</t>
        </is>
      </c>
      <c r="C12" s="48" t="inlineStr">
        <is>
          <t>2026-02-11 00:00 UTC</t>
        </is>
      </c>
      <c r="D12" s="48" t="inlineStr">
        <is>
          <t>Stocks mixed but world index hits record high; Treasury yields fall - Reuters</t>
        </is>
      </c>
      <c r="E12" s="48" t="inlineStr">
        <is>
          <t>https://news.google.com/rss/articles/CBMigwFBVV95cUxPQ0UzaHdISFR4d1hkWC1pTXJRSUx2T0lDYjRIX1E5Rk9BTE1zX0lfTHRJM1JGT3MtbzVkUGk5YzFYZ3pxMzBNSER3cC0tWjVqdHluc3dUTG9PakFCREQzaTNrVmRkNTFSMWhKVFpwTEhNMTVRbElPQmJzaHBtR292MFRzSQ?oc=5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1" topLeftCell="A2" activePane="bottomLeft" state="frozen"/>
      <selection pane="bottomLeft" activeCell="M7" sqref="M7"/>
    </sheetView>
  </sheetViews>
  <sheetFormatPr baseColWidth="8" defaultRowHeight="15" outlineLevelCol="0"/>
  <cols>
    <col width="10" bestFit="1" customWidth="1" min="1" max="1"/>
    <col width="10" customWidth="1" min="2" max="4"/>
    <col width="10" customWidth="1" min="3" max="3"/>
    <col width="10" customWidth="1" min="4" max="4"/>
    <col width="13" customWidth="1" min="5" max="5"/>
  </cols>
  <sheetData>
    <row r="1">
      <c r="A1" s="18" t="inlineStr">
        <is>
          <t>Category</t>
        </is>
      </c>
      <c r="B1" s="18" t="inlineStr">
        <is>
          <t>Item</t>
        </is>
      </c>
      <c r="C1" s="18" t="inlineStr">
        <is>
          <t>Label</t>
        </is>
      </c>
      <c r="D1" s="18" t="inlineStr">
        <is>
          <t>Prob</t>
        </is>
      </c>
      <c r="E1" s="18" t="inlineStr">
        <is>
          <t>Details</t>
        </is>
      </c>
    </row>
    <row r="2">
      <c r="A2" s="48" t="inlineStr">
        <is>
          <t>Rates</t>
        </is>
      </c>
      <c r="B2" s="48" t="inlineStr">
        <is>
          <t>US</t>
        </is>
      </c>
      <c r="C2" s="48" t="inlineStr">
        <is>
          <t>medium</t>
        </is>
      </c>
      <c r="D2" s="49" t="n">
        <v>0.5</v>
      </c>
      <c r="E2" s="48" t="inlineStr">
        <is>
          <t>vol risk</t>
        </is>
      </c>
    </row>
    <row r="3">
      <c r="A3" s="48" t="inlineStr">
        <is>
          <t>Rates</t>
        </is>
      </c>
      <c r="B3" s="48" t="inlineStr">
        <is>
          <t>CA</t>
        </is>
      </c>
      <c r="C3" s="48" t="inlineStr">
        <is>
          <t>low</t>
        </is>
      </c>
      <c r="D3" s="49" t="n">
        <v>0.25</v>
      </c>
      <c r="E3" s="48" t="inlineStr">
        <is>
          <t>vol risk</t>
        </is>
      </c>
    </row>
    <row r="4">
      <c r="A4" s="48" t="inlineStr">
        <is>
          <t>Events</t>
        </is>
      </c>
      <c r="B4" s="48" t="inlineStr">
        <is>
          <t>Overall</t>
        </is>
      </c>
      <c r="C4" s="48" t="inlineStr">
        <is>
          <t>low</t>
        </is>
      </c>
      <c r="D4" s="49" t="n">
        <v>0.25</v>
      </c>
      <c r="E4" s="48" t="inlineStr">
        <is>
          <t>score 1</t>
        </is>
      </c>
    </row>
    <row r="5">
      <c r="A5" s="48" t="inlineStr">
        <is>
          <t>FX</t>
        </is>
      </c>
      <c r="B5" s="48" t="inlineStr">
        <is>
          <t>AUDUSD</t>
        </is>
      </c>
      <c r="C5" s="48" t="inlineStr">
        <is>
          <t>high</t>
        </is>
      </c>
      <c r="D5" s="49" t="n">
        <v>0.75</v>
      </c>
      <c r="E5" s="48" t="inlineStr">
        <is>
          <t>fx vol risk</t>
        </is>
      </c>
    </row>
    <row r="6">
      <c r="A6" s="48" t="inlineStr">
        <is>
          <t>FX</t>
        </is>
      </c>
      <c r="B6" s="48" t="inlineStr">
        <is>
          <t>EURUSD</t>
        </is>
      </c>
      <c r="C6" s="48" t="inlineStr">
        <is>
          <t>low</t>
        </is>
      </c>
      <c r="D6" s="49" t="n">
        <v>0.25</v>
      </c>
      <c r="E6" s="48" t="inlineStr">
        <is>
          <t>fx vol risk</t>
        </is>
      </c>
    </row>
    <row r="7">
      <c r="A7" s="48" t="inlineStr">
        <is>
          <t>FX</t>
        </is>
      </c>
      <c r="B7" s="48" t="inlineStr">
        <is>
          <t>GBPUSD</t>
        </is>
      </c>
      <c r="C7" s="48" t="inlineStr">
        <is>
          <t>low</t>
        </is>
      </c>
      <c r="D7" s="49" t="n">
        <v>0.25</v>
      </c>
      <c r="E7" s="48" t="inlineStr">
        <is>
          <t>fx vol risk</t>
        </is>
      </c>
    </row>
    <row r="8">
      <c r="A8" s="48" t="inlineStr">
        <is>
          <t>FX</t>
        </is>
      </c>
      <c r="B8" s="48" t="inlineStr">
        <is>
          <t>NZDUSD</t>
        </is>
      </c>
      <c r="C8" s="48" t="inlineStr">
        <is>
          <t>medium</t>
        </is>
      </c>
      <c r="D8" s="49" t="n">
        <v>0.5</v>
      </c>
      <c r="E8" s="48" t="inlineStr">
        <is>
          <t>fx vol risk</t>
        </is>
      </c>
    </row>
    <row r="9">
      <c r="A9" s="48" t="inlineStr">
        <is>
          <t>FX</t>
        </is>
      </c>
      <c r="B9" s="48" t="inlineStr">
        <is>
          <t>USDCAD</t>
        </is>
      </c>
      <c r="C9" s="48" t="inlineStr">
        <is>
          <t>low</t>
        </is>
      </c>
      <c r="D9" s="49" t="n">
        <v>0.25</v>
      </c>
      <c r="E9" s="48" t="inlineStr">
        <is>
          <t>fx vol risk</t>
        </is>
      </c>
    </row>
    <row r="10">
      <c r="A10" s="48" t="inlineStr">
        <is>
          <t>FX</t>
        </is>
      </c>
      <c r="B10" s="48" t="inlineStr">
        <is>
          <t>USDCHF</t>
        </is>
      </c>
      <c r="C10" s="48" t="inlineStr">
        <is>
          <t>low</t>
        </is>
      </c>
      <c r="D10" s="49" t="n">
        <v>0.25</v>
      </c>
      <c r="E10" s="48" t="inlineStr">
        <is>
          <t>fx vol risk</t>
        </is>
      </c>
    </row>
    <row r="11">
      <c r="A11" s="48" t="inlineStr">
        <is>
          <t>FX</t>
        </is>
      </c>
      <c r="B11" s="48" t="inlineStr">
        <is>
          <t>USDJPY</t>
        </is>
      </c>
      <c r="C11" s="48" t="inlineStr">
        <is>
          <t>high</t>
        </is>
      </c>
      <c r="D11" s="49" t="n">
        <v>0.75</v>
      </c>
      <c r="E11" s="48" t="inlineStr">
        <is>
          <t>fx vol risk</t>
        </is>
      </c>
    </row>
    <row r="12">
      <c r="A12" s="48" t="inlineStr">
        <is>
          <t>FX</t>
        </is>
      </c>
      <c r="B12" s="48" t="inlineStr">
        <is>
          <t>USDNOK</t>
        </is>
      </c>
      <c r="C12" s="48" t="inlineStr">
        <is>
          <t>medium</t>
        </is>
      </c>
      <c r="D12" s="49" t="n">
        <v>0.5</v>
      </c>
      <c r="E12" s="48" t="inlineStr">
        <is>
          <t>fx vol risk</t>
        </is>
      </c>
    </row>
    <row r="13">
      <c r="A13" s="48" t="inlineStr">
        <is>
          <t>FX</t>
        </is>
      </c>
      <c r="B13" s="48" t="inlineStr">
        <is>
          <t>USDSEK</t>
        </is>
      </c>
      <c r="C13" s="48" t="inlineStr">
        <is>
          <t>medium</t>
        </is>
      </c>
      <c r="D13" s="49" t="n">
        <v>0.5</v>
      </c>
      <c r="E13" s="48" t="inlineStr">
        <is>
          <t>fx vol risk</t>
        </is>
      </c>
    </row>
    <row r="14"/>
    <row r="15">
      <c r="A15" s="53" t="inlineStr">
        <is>
          <t>Reasons</t>
        </is>
      </c>
    </row>
    <row r="16">
      <c r="A16" s="52" t="inlineStr">
        <is>
          <t>'- US: max abs daily bp move 7.0; overall event severity low; history obs=60</t>
        </is>
      </c>
    </row>
    <row r="17">
      <c r="A17" s="52" t="inlineStr">
        <is>
          <t>'- CA: max abs daily bp move 3.0; overall event severity low; history obs=60</t>
        </is>
      </c>
    </row>
    <row r="18">
      <c r="A18" s="52" t="inlineStr">
        <is>
          <t>'- AUDUSD: AUDUSD abs daily move 0.88% -&gt; high threshold bucket; event bump applied 0.00</t>
        </is>
      </c>
    </row>
    <row r="19">
      <c r="A19" s="52" t="inlineStr">
        <is>
          <t>'- EURUSD: EURUSD abs daily move 0.03% -&gt; low threshold bucket; event bump applied 0.00</t>
        </is>
      </c>
    </row>
    <row r="20">
      <c r="A20" s="52" t="inlineStr">
        <is>
          <t>'- GBPUSD: GBPUSD abs daily move 0.20% -&gt; low threshold bucket; event bump applied 0.00</t>
        </is>
      </c>
    </row>
    <row r="21">
      <c r="A21" s="52" t="inlineStr">
        <is>
          <t>'- NZDUSD: NZDUSD abs daily move 0.48% -&gt; medium threshold bucket; event bump applied 0.00</t>
        </is>
      </c>
    </row>
    <row r="22">
      <c r="A22" s="52" t="inlineStr">
        <is>
          <t>'- USDCAD: USDCAD abs daily move 0.08% -&gt; low threshold bucket; event bump applied 0.00</t>
        </is>
      </c>
    </row>
    <row r="23">
      <c r="A23" s="52" t="inlineStr">
        <is>
          <t>'- USDCHF: USDCHF abs daily move 0.19% -&gt; low threshold bucket; event bump applied 0.00</t>
        </is>
      </c>
    </row>
    <row r="24">
      <c r="A24" s="52" t="inlineStr">
        <is>
          <t>'- USDJPY: USDJPY abs daily move 1.06% -&gt; high threshold bucket; event bump applied 0.00</t>
        </is>
      </c>
    </row>
    <row r="25">
      <c r="A25" s="52" t="inlineStr">
        <is>
          <t>'- USDNOK: USDNOK abs daily move 0.66% -&gt; medium threshold bucket; event bump applied 0.00</t>
        </is>
      </c>
    </row>
    <row r="26">
      <c r="A26" s="52" t="inlineStr">
        <is>
          <t>'- USDSEK: USDSEK abs daily move 0.40% -&gt; medium threshold bucket; event bump applied 0.00</t>
        </is>
      </c>
    </row>
    <row r="27">
      <c r="A27" s="38" t="n"/>
    </row>
    <row r="28">
      <c r="A28" s="53" t="inlineStr">
        <is>
          <t>Regime Persistence Stats</t>
        </is>
      </c>
    </row>
    <row r="29">
      <c r="A29" s="18" t="inlineStr">
        <is>
          <t>Metric</t>
        </is>
      </c>
      <c r="B29" s="18" t="inlineStr">
        <is>
          <t>US</t>
        </is>
      </c>
      <c r="C29" s="18" t="inlineStr">
        <is>
          <t>CA</t>
        </is>
      </c>
    </row>
    <row r="30">
      <c r="A30" s="48" t="inlineStr">
        <is>
          <t>Current 2s10s (bp)</t>
        </is>
      </c>
      <c r="B30" s="49" t="n">
        <v>71</v>
      </c>
      <c r="C30" s="49" t="n">
        <v>81.99999999999999</v>
      </c>
    </row>
    <row r="31">
      <c r="A31" s="55" t="inlineStr">
        <is>
          <t>Z-score level (w=60/60)</t>
        </is>
      </c>
      <c r="B31" s="49" t="n">
        <v>0.6484076099235858</v>
      </c>
      <c r="C31" s="49" t="n">
        <v>-0.2678548487188809</v>
      </c>
    </row>
    <row r="32">
      <c r="A32" s="56" t="inlineStr">
        <is>
          <t>Z-score change (w=60/60)</t>
        </is>
      </c>
      <c r="B32" s="57" t="n">
        <v>-0.09498671543496977</v>
      </c>
      <c r="C32" s="57" t="n">
        <v>-0.7977240352174738</v>
      </c>
    </row>
    <row r="33">
      <c r="A33" s="48" t="inlineStr">
        <is>
          <t>Vol ratio (short/long)</t>
        </is>
      </c>
      <c r="B33" s="49" t="n">
        <v>0.7884497367099896</v>
      </c>
      <c r="C33" s="49" t="n">
        <v>0.4520793931220531</v>
      </c>
    </row>
    <row r="34">
      <c r="A34" s="48" t="inlineStr">
        <is>
          <t>Vol state</t>
        </is>
      </c>
      <c r="B34" s="49" t="inlineStr">
        <is>
          <t>LOW</t>
        </is>
      </c>
      <c r="C34" s="49" t="inlineStr">
        <is>
          <t>LOW</t>
        </is>
      </c>
    </row>
    <row r="35">
      <c r="A35" s="48" t="inlineStr">
        <is>
          <t>Regime bucket</t>
        </is>
      </c>
      <c r="B35" s="49" t="inlineStr">
        <is>
          <t>NORMAL</t>
        </is>
      </c>
      <c r="C35" s="49" t="inlineStr">
        <is>
          <t>NORMAL</t>
        </is>
      </c>
    </row>
    <row r="36">
      <c r="A36" s="48" t="inlineStr">
        <is>
          <t>Transition rate (w=60/60)</t>
        </is>
      </c>
      <c r="B36" s="49" t="n">
        <v>0</v>
      </c>
      <c r="C36" s="49" t="n">
        <v>0</v>
      </c>
    </row>
    <row r="37">
      <c r="A37" s="48" t="inlineStr">
        <is>
          <t>Persistence probability (w=60/60)</t>
        </is>
      </c>
      <c r="B37" s="49" t="n">
        <v>1</v>
      </c>
      <c r="C37" s="49" t="n">
        <v>1</v>
      </c>
    </row>
    <row r="38">
      <c r="A38" s="48" t="inlineStr">
        <is>
          <t>Confidence</t>
        </is>
      </c>
      <c r="B38" s="49" t="inlineStr">
        <is>
          <t>HIGH</t>
        </is>
      </c>
      <c r="C38" s="49" t="inlineStr">
        <is>
          <t>HIGH</t>
        </is>
      </c>
    </row>
    <row r="39">
      <c r="A39" s="34" t="n"/>
      <c r="B39" s="35" t="n"/>
      <c r="C39" s="35" t="n"/>
    </row>
    <row r="40">
      <c r="A40" s="34" t="n"/>
      <c r="B40" s="35" t="n"/>
      <c r="C40" s="35" t="n"/>
    </row>
    <row r="41">
      <c r="A41" s="34" t="n"/>
      <c r="B41" s="35" t="n"/>
      <c r="C41" s="35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1" customWidth="1" min="2" max="2"/>
    <col width="15" customWidth="1" min="3" max="3"/>
    <col width="19" customWidth="1" min="4" max="4"/>
  </cols>
  <sheetData>
    <row r="1">
      <c r="A1" s="18" t="inlineStr">
        <is>
          <t>Bucket</t>
        </is>
      </c>
      <c r="B1" s="18" t="inlineStr">
        <is>
          <t>Inventory ($mm)</t>
        </is>
      </c>
      <c r="C1" s="18" t="inlineStr">
        <is>
          <t>DV01 per $1mm</t>
        </is>
      </c>
      <c r="D1" s="18" t="inlineStr">
        <is>
          <t>DV01 ($/bp)</t>
        </is>
      </c>
    </row>
    <row r="2">
      <c r="A2" s="48" t="inlineStr">
        <is>
          <t>US_2Y</t>
        </is>
      </c>
      <c r="B2" s="50" t="n">
        <v>2</v>
      </c>
      <c r="C2" s="58" t="n">
        <v>200</v>
      </c>
      <c r="D2" s="58" t="n">
        <v>400</v>
      </c>
    </row>
    <row r="3">
      <c r="A3" s="48" t="inlineStr">
        <is>
          <t>US_5Y</t>
        </is>
      </c>
      <c r="B3" s="50" t="n">
        <v>-5</v>
      </c>
      <c r="C3" s="58" t="n">
        <v>450</v>
      </c>
      <c r="D3" s="58" t="n">
        <v>-2250</v>
      </c>
    </row>
    <row r="4">
      <c r="A4" s="48" t="inlineStr">
        <is>
          <t>US_10Y</t>
        </is>
      </c>
      <c r="B4" s="50" t="n">
        <v>6.117647058823529</v>
      </c>
      <c r="C4" s="58" t="n">
        <v>850</v>
      </c>
      <c r="D4" s="58" t="n">
        <v>5200</v>
      </c>
    </row>
    <row r="5">
      <c r="A5" s="48" t="inlineStr">
        <is>
          <t>US_30Y</t>
        </is>
      </c>
      <c r="B5" s="50" t="n">
        <v>-3</v>
      </c>
      <c r="C5" s="58" t="n">
        <v>1600</v>
      </c>
      <c r="D5" s="58" t="n">
        <v>-4800</v>
      </c>
    </row>
    <row r="6">
      <c r="A6" s="48" t="inlineStr">
        <is>
          <t>CA_2Y</t>
        </is>
      </c>
      <c r="B6" s="50" t="n">
        <v>-5</v>
      </c>
      <c r="C6" s="58" t="n">
        <v>180</v>
      </c>
      <c r="D6" s="58" t="n">
        <v>-900</v>
      </c>
    </row>
    <row r="7">
      <c r="A7" s="48" t="inlineStr">
        <is>
          <t>CA_5Y</t>
        </is>
      </c>
      <c r="B7" s="50" t="n">
        <v>-12</v>
      </c>
      <c r="C7" s="58" t="n">
        <v>420</v>
      </c>
      <c r="D7" s="58" t="n">
        <v>-5040</v>
      </c>
    </row>
    <row r="8">
      <c r="A8" s="48" t="inlineStr">
        <is>
          <t>CA_10Y</t>
        </is>
      </c>
      <c r="B8" s="50" t="n">
        <v>7.387499999999999</v>
      </c>
      <c r="C8" s="58" t="n">
        <v>800</v>
      </c>
      <c r="D8" s="58" t="n">
        <v>5909.999999999999</v>
      </c>
    </row>
    <row r="9">
      <c r="A9" s="48" t="inlineStr">
        <is>
          <t>CA_30Y</t>
        </is>
      </c>
      <c r="B9" s="50" t="n">
        <v>0</v>
      </c>
      <c r="C9" s="58" t="n">
        <v>1500</v>
      </c>
      <c r="D9" s="58" t="n">
        <v>0</v>
      </c>
    </row>
    <row r="10"/>
    <row r="11"/>
    <row r="12">
      <c r="A12" s="18" t="inlineStr">
        <is>
          <t>Flow Tape Summary</t>
        </is>
      </c>
      <c r="B12" s="18" t="inlineStr">
        <is>
          <t>Value</t>
        </is>
      </c>
    </row>
    <row r="13">
      <c r="A13" s="48" t="inlineStr">
        <is>
          <t>2Y_count</t>
        </is>
      </c>
      <c r="B13" s="49" t="n">
        <v>10</v>
      </c>
    </row>
    <row r="14">
      <c r="A14" s="48" t="inlineStr">
        <is>
          <t>5Y_count</t>
        </is>
      </c>
      <c r="B14" s="49" t="n">
        <v>13</v>
      </c>
    </row>
    <row r="15">
      <c r="A15" s="48" t="inlineStr">
        <is>
          <t>10Y_count</t>
        </is>
      </c>
      <c r="B15" s="49" t="n">
        <v>12</v>
      </c>
    </row>
    <row r="16">
      <c r="A16" s="48" t="inlineStr">
        <is>
          <t>30Y_count</t>
        </is>
      </c>
      <c r="B16" s="49" t="n">
        <v>5</v>
      </c>
    </row>
    <row r="17">
      <c r="A17" s="48" t="inlineStr">
        <is>
          <t>2Y_net_dv01_chg</t>
        </is>
      </c>
      <c r="B17" s="49" t="n">
        <v>-1860</v>
      </c>
    </row>
    <row r="18">
      <c r="A18" s="48" t="inlineStr">
        <is>
          <t>5Y_net_dv01_chg</t>
        </is>
      </c>
      <c r="B18" s="49" t="n">
        <v>-7290</v>
      </c>
    </row>
    <row r="19">
      <c r="A19" s="48" t="inlineStr">
        <is>
          <t>10Y_net_dv01_chg</t>
        </is>
      </c>
      <c r="B19" s="49" t="n">
        <v>-1900</v>
      </c>
    </row>
    <row r="20">
      <c r="A20" s="48" t="inlineStr">
        <is>
          <t>30Y_net_dv01_chg</t>
        </is>
      </c>
      <c r="B20" s="49" t="n">
        <v>-4800</v>
      </c>
    </row>
    <row r="21">
      <c r="A21" s="48" t="inlineStr">
        <is>
          <t>hedge_count</t>
        </is>
      </c>
      <c r="B21" s="49" t="n">
        <v>16</v>
      </c>
    </row>
    <row r="22">
      <c r="A22" s="48" t="inlineStr">
        <is>
          <t>peak_abs_dv01_intraday</t>
        </is>
      </c>
      <c r="B22" s="49" t="n">
        <v>2990</v>
      </c>
    </row>
    <row r="23"/>
    <row r="24">
      <c r="A24" s="18" t="inlineStr">
        <is>
          <t>Metric</t>
        </is>
      </c>
      <c r="B24" s="18" t="inlineStr">
        <is>
          <t>Value</t>
        </is>
      </c>
    </row>
    <row r="25">
      <c r="A25" s="48" t="inlineStr">
        <is>
          <t>net_dv01</t>
        </is>
      </c>
      <c r="B25" s="49" t="n">
        <v>-1480.000000000001</v>
      </c>
    </row>
    <row r="26">
      <c r="A26" s="48" t="inlineStr">
        <is>
          <t>front_end_concentration</t>
        </is>
      </c>
      <c r="B26" s="49" t="n">
        <v>0.02040816326530612</v>
      </c>
    </row>
    <row r="27">
      <c r="A27" s="48" t="inlineStr">
        <is>
          <t>stress_bp</t>
        </is>
      </c>
      <c r="B27" s="49" t="n">
        <v>2</v>
      </c>
    </row>
    <row r="28">
      <c r="A28" s="48" t="inlineStr">
        <is>
          <t>stress_$</t>
        </is>
      </c>
      <c r="B28" s="49" t="n">
        <v>5980</v>
      </c>
    </row>
    <row r="29">
      <c r="A29" s="48" t="inlineStr">
        <is>
          <t>dv01_cap</t>
        </is>
      </c>
      <c r="B29" s="49" t="n">
        <v>3000</v>
      </c>
    </row>
    <row r="30">
      <c r="A30" s="48" t="inlineStr">
        <is>
          <t>dv01_peak_abs</t>
        </is>
      </c>
      <c r="B30" s="49" t="n">
        <v>2990</v>
      </c>
    </row>
    <row r="31">
      <c r="A31" s="48" t="inlineStr">
        <is>
          <t>hedge_count_rates</t>
        </is>
      </c>
      <c r="B31" s="49" t="n">
        <v>16</v>
      </c>
    </row>
    <row r="32">
      <c r="A32" s="48" t="inlineStr">
        <is>
          <t>warnings</t>
        </is>
      </c>
      <c r="B32" s="49" t="inlineStr">
        <is>
          <t>none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 outlineLevelCol="0"/>
  <cols>
    <col width="10" customWidth="1" min="1" max="4"/>
    <col width="10" customWidth="1" min="2" max="2"/>
    <col width="10" customWidth="1" min="3" max="3"/>
    <col width="21" customWidth="1" min="4" max="4"/>
    <col width="20" customWidth="1" min="5" max="5"/>
    <col width="24" customWidth="1" min="6" max="6"/>
    <col width="10" customWidth="1" min="7" max="7"/>
    <col width="11" customWidth="1" min="8" max="8"/>
    <col width="10" customWidth="1" min="9" max="9"/>
    <col width="20" customWidth="1" min="10" max="10"/>
    <col width="21" customWidth="1" min="11" max="11"/>
    <col width="20" customWidth="1" min="12" max="12"/>
  </cols>
  <sheetData>
    <row r="1">
      <c r="A1" s="18" t="inlineStr">
        <is>
          <t>Step</t>
        </is>
      </c>
      <c r="B1" s="18" t="inlineStr">
        <is>
          <t>Session</t>
        </is>
      </c>
      <c r="C1" s="18" t="inlineStr">
        <is>
          <t>EventWin</t>
        </is>
      </c>
      <c r="D1" s="18" t="inlineStr">
        <is>
          <t>p_buy</t>
        </is>
      </c>
      <c r="E1" s="18" t="inlineStr">
        <is>
          <t>Mid</t>
        </is>
      </c>
      <c r="F1" s="18" t="inlineStr">
        <is>
          <t>Spread_t</t>
        </is>
      </c>
      <c r="G1" s="18" t="inlineStr">
        <is>
          <t>Trades</t>
        </is>
      </c>
      <c r="H1" s="18" t="inlineStr">
        <is>
          <t>Inventory</t>
        </is>
      </c>
      <c r="I1" s="18" t="inlineStr">
        <is>
          <t>Hedged</t>
        </is>
      </c>
      <c r="J1" s="18" t="inlineStr">
        <is>
          <t>HedgeCost</t>
        </is>
      </c>
      <c r="K1" s="18" t="inlineStr">
        <is>
          <t>StepPnL</t>
        </is>
      </c>
      <c r="L1" s="18" t="inlineStr">
        <is>
          <t>CumPnL</t>
        </is>
      </c>
    </row>
    <row r="2">
      <c r="A2" s="48" t="n">
        <v>1</v>
      </c>
      <c r="B2" s="48" t="inlineStr">
        <is>
          <t>Asia</t>
        </is>
      </c>
      <c r="C2" s="58" t="n">
        <v>0</v>
      </c>
      <c r="D2" s="49" t="n">
        <v>0.35</v>
      </c>
      <c r="E2" s="59" t="n">
        <v>1.355262614700583</v>
      </c>
      <c r="F2" s="59" t="n">
        <v>0.00013</v>
      </c>
      <c r="G2" s="58" t="n">
        <v>1</v>
      </c>
      <c r="H2" s="58" t="n">
        <v>2</v>
      </c>
      <c r="I2" s="58" t="n">
        <v>0</v>
      </c>
      <c r="J2" s="50" t="n">
        <v>0</v>
      </c>
      <c r="K2" s="50" t="n">
        <v>1.3</v>
      </c>
      <c r="L2" s="50" t="n">
        <v>1.3</v>
      </c>
    </row>
    <row r="3">
      <c r="A3" s="48" t="n">
        <v>2</v>
      </c>
      <c r="B3" s="48" t="inlineStr">
        <is>
          <t>Asia</t>
        </is>
      </c>
      <c r="C3" s="58" t="n">
        <v>0</v>
      </c>
      <c r="D3" s="49" t="n">
        <v>0.3</v>
      </c>
      <c r="E3" s="59" t="n">
        <v>1.35524501419069</v>
      </c>
      <c r="F3" s="59" t="n">
        <v>0.0001391</v>
      </c>
      <c r="G3" s="58" t="n">
        <v>1</v>
      </c>
      <c r="H3" s="58" t="n">
        <v>1</v>
      </c>
      <c r="I3" s="58" t="n">
        <v>0</v>
      </c>
      <c r="J3" s="50" t="n">
        <v>0</v>
      </c>
      <c r="K3" s="50" t="n">
        <v>0.6955000000000001</v>
      </c>
      <c r="L3" s="50" t="n">
        <v>1.9955</v>
      </c>
    </row>
    <row r="4">
      <c r="A4" s="48" t="n">
        <v>3</v>
      </c>
      <c r="B4" s="48" t="inlineStr">
        <is>
          <t>Asia</t>
        </is>
      </c>
      <c r="C4" s="58" t="n">
        <v>0</v>
      </c>
      <c r="D4" s="49" t="n">
        <v>0.325</v>
      </c>
      <c r="E4" s="59" t="n">
        <v>1.355130762789788</v>
      </c>
      <c r="F4" s="59" t="n">
        <v>0.00013455</v>
      </c>
      <c r="G4" s="58" t="n">
        <v>1</v>
      </c>
      <c r="H4" s="58" t="n">
        <v>-1</v>
      </c>
      <c r="I4" s="58" t="n">
        <v>0</v>
      </c>
      <c r="J4" s="50" t="n">
        <v>0</v>
      </c>
      <c r="K4" s="50" t="n">
        <v>1.3455</v>
      </c>
      <c r="L4" s="50" t="n">
        <v>3.341</v>
      </c>
    </row>
    <row r="5">
      <c r="A5" s="48" t="n">
        <v>4</v>
      </c>
      <c r="B5" s="48" t="inlineStr">
        <is>
          <t>Asia</t>
        </is>
      </c>
      <c r="C5" s="58" t="n">
        <v>0</v>
      </c>
      <c r="D5" s="49" t="n">
        <v>0.375</v>
      </c>
      <c r="E5" s="59" t="n">
        <v>1.35508419455544</v>
      </c>
      <c r="F5" s="59" t="n">
        <v>0.00013455</v>
      </c>
      <c r="G5" s="58" t="n">
        <v>1</v>
      </c>
      <c r="H5" s="58" t="n">
        <v>-2</v>
      </c>
      <c r="I5" s="58" t="n">
        <v>0</v>
      </c>
      <c r="J5" s="50" t="n">
        <v>0</v>
      </c>
      <c r="K5" s="50" t="n">
        <v>0.6727500000000001</v>
      </c>
      <c r="L5" s="50" t="n">
        <v>4.01375</v>
      </c>
    </row>
    <row r="6">
      <c r="A6" s="48" t="n">
        <v>5</v>
      </c>
      <c r="B6" s="48" t="inlineStr">
        <is>
          <t>Asia</t>
        </is>
      </c>
      <c r="C6" s="58" t="n">
        <v>0</v>
      </c>
      <c r="D6" s="49" t="n">
        <v>0.4</v>
      </c>
      <c r="E6" s="59" t="n">
        <v>1.35547239583291</v>
      </c>
      <c r="F6" s="59" t="n">
        <v>0.0001391</v>
      </c>
      <c r="G6" s="58" t="n">
        <v>1</v>
      </c>
      <c r="H6" s="58" t="n">
        <v>-3</v>
      </c>
      <c r="I6" s="58" t="n">
        <v>0</v>
      </c>
      <c r="J6" s="50" t="n">
        <v>0</v>
      </c>
      <c r="K6" s="50" t="n">
        <v>0.6955000000000001</v>
      </c>
      <c r="L6" s="50" t="n">
        <v>4.70925</v>
      </c>
    </row>
    <row r="7">
      <c r="A7" s="48" t="n">
        <v>6</v>
      </c>
      <c r="B7" s="48" t="inlineStr">
        <is>
          <t>Asia</t>
        </is>
      </c>
      <c r="C7" s="58" t="n">
        <v>0</v>
      </c>
      <c r="D7" s="49" t="n">
        <v>0.425</v>
      </c>
      <c r="E7" s="59" t="n">
        <v>1.355193285825539</v>
      </c>
      <c r="F7" s="59" t="n">
        <v>0.00014365</v>
      </c>
      <c r="G7" s="58" t="n">
        <v>1</v>
      </c>
      <c r="H7" s="58" t="n">
        <v>-1</v>
      </c>
      <c r="I7" s="58" t="n">
        <v>0</v>
      </c>
      <c r="J7" s="50" t="n">
        <v>0</v>
      </c>
      <c r="K7" s="50" t="n">
        <v>1.4365</v>
      </c>
      <c r="L7" s="50" t="n">
        <v>6.14575</v>
      </c>
    </row>
    <row r="8">
      <c r="A8" s="48" t="n">
        <v>7</v>
      </c>
      <c r="B8" s="48" t="inlineStr">
        <is>
          <t>Asia</t>
        </is>
      </c>
      <c r="C8" s="58" t="n">
        <v>0</v>
      </c>
      <c r="D8" s="49" t="n">
        <v>0.375</v>
      </c>
      <c r="E8" s="59" t="n">
        <v>1.355248600388202</v>
      </c>
      <c r="F8" s="59" t="n">
        <v>0.00013455</v>
      </c>
      <c r="G8" s="58" t="n">
        <v>1</v>
      </c>
      <c r="H8" s="58" t="n">
        <v>1</v>
      </c>
      <c r="I8" s="58" t="n">
        <v>0</v>
      </c>
      <c r="J8" s="50" t="n">
        <v>0</v>
      </c>
      <c r="K8" s="50" t="n">
        <v>1.3455</v>
      </c>
      <c r="L8" s="50" t="n">
        <v>7.491250000000001</v>
      </c>
    </row>
    <row r="9">
      <c r="A9" s="48" t="n">
        <v>8</v>
      </c>
      <c r="B9" s="48" t="inlineStr">
        <is>
          <t>Asia</t>
        </is>
      </c>
      <c r="C9" s="58" t="n">
        <v>0</v>
      </c>
      <c r="D9" s="49" t="n">
        <v>0.325</v>
      </c>
      <c r="E9" s="59" t="n">
        <v>1.355722884960822</v>
      </c>
      <c r="F9" s="59" t="n">
        <v>0.00013455</v>
      </c>
      <c r="G9" s="58" t="n">
        <v>1</v>
      </c>
      <c r="H9" s="58" t="n">
        <v>0</v>
      </c>
      <c r="I9" s="58" t="n">
        <v>0</v>
      </c>
      <c r="J9" s="50" t="n">
        <v>0</v>
      </c>
      <c r="K9" s="50" t="n">
        <v>0.6727500000000001</v>
      </c>
      <c r="L9" s="50" t="n">
        <v>8.164000000000001</v>
      </c>
    </row>
    <row r="10">
      <c r="A10" s="48" t="n">
        <v>9</v>
      </c>
      <c r="B10" s="48" t="inlineStr">
        <is>
          <t>Asia</t>
        </is>
      </c>
      <c r="C10" s="58" t="n">
        <v>0</v>
      </c>
      <c r="D10" s="49" t="n">
        <v>0.35</v>
      </c>
      <c r="E10" s="59" t="n">
        <v>1.35560080956546</v>
      </c>
      <c r="F10" s="59" t="n">
        <v>0.00013</v>
      </c>
      <c r="G10" s="58" t="n">
        <v>1</v>
      </c>
      <c r="H10" s="58" t="n">
        <v>1</v>
      </c>
      <c r="I10" s="58" t="n">
        <v>0</v>
      </c>
      <c r="J10" s="50" t="n">
        <v>0</v>
      </c>
      <c r="K10" s="50" t="n">
        <v>0.6500000000000001</v>
      </c>
      <c r="L10" s="50" t="n">
        <v>8.814000000000002</v>
      </c>
    </row>
    <row r="11">
      <c r="A11" s="48" t="n">
        <v>10</v>
      </c>
      <c r="B11" s="48" t="inlineStr">
        <is>
          <t>Asia</t>
        </is>
      </c>
      <c r="C11" s="58" t="n">
        <v>0</v>
      </c>
      <c r="D11" s="49" t="n">
        <v>0.325</v>
      </c>
      <c r="E11" s="59" t="n">
        <v>1.355656768396359</v>
      </c>
      <c r="F11" s="59" t="n">
        <v>0.00013455</v>
      </c>
      <c r="G11" s="58" t="n">
        <v>1</v>
      </c>
      <c r="H11" s="58" t="n">
        <v>3</v>
      </c>
      <c r="I11" s="58" t="n">
        <v>0</v>
      </c>
      <c r="J11" s="50" t="n">
        <v>0</v>
      </c>
      <c r="K11" s="50" t="n">
        <v>1.3455</v>
      </c>
      <c r="L11" s="50" t="n">
        <v>10.1595</v>
      </c>
    </row>
    <row r="12">
      <c r="A12" s="48" t="n">
        <v>11</v>
      </c>
      <c r="B12" s="48" t="inlineStr">
        <is>
          <t>Asia</t>
        </is>
      </c>
      <c r="C12" s="58" t="n">
        <v>0</v>
      </c>
      <c r="D12" s="49" t="n">
        <v>0.275</v>
      </c>
      <c r="E12" s="59" t="n">
        <v>1.355705798564106</v>
      </c>
      <c r="F12" s="59" t="n">
        <v>0.00014365</v>
      </c>
      <c r="G12" s="58" t="n">
        <v>1</v>
      </c>
      <c r="H12" s="58" t="n">
        <v>1</v>
      </c>
      <c r="I12" s="58" t="n">
        <v>0</v>
      </c>
      <c r="J12" s="50" t="n">
        <v>0</v>
      </c>
      <c r="K12" s="50" t="n">
        <v>1.4365</v>
      </c>
      <c r="L12" s="50" t="n">
        <v>11.596</v>
      </c>
    </row>
    <row r="13">
      <c r="A13" s="48" t="n">
        <v>12</v>
      </c>
      <c r="B13" s="48" t="inlineStr">
        <is>
          <t>Asia</t>
        </is>
      </c>
      <c r="C13" s="58" t="n">
        <v>0</v>
      </c>
      <c r="D13" s="49" t="n">
        <v>0.325</v>
      </c>
      <c r="E13" s="59" t="n">
        <v>1.356439315206216</v>
      </c>
      <c r="F13" s="59" t="n">
        <v>0.00013455</v>
      </c>
      <c r="G13" s="58" t="n">
        <v>1</v>
      </c>
      <c r="H13" s="58" t="n">
        <v>2</v>
      </c>
      <c r="I13" s="58" t="n">
        <v>0</v>
      </c>
      <c r="J13" s="50" t="n">
        <v>0</v>
      </c>
      <c r="K13" s="50" t="n">
        <v>0.6727500000000001</v>
      </c>
      <c r="L13" s="50" t="n">
        <v>12.26875</v>
      </c>
    </row>
    <row r="14">
      <c r="A14" s="48" t="n">
        <v>13</v>
      </c>
      <c r="B14" s="48" t="inlineStr">
        <is>
          <t>Asia</t>
        </is>
      </c>
      <c r="C14" s="58" t="n">
        <v>0</v>
      </c>
      <c r="D14" s="49" t="n">
        <v>0.3</v>
      </c>
      <c r="E14" s="59" t="n">
        <v>1.356014625245999</v>
      </c>
      <c r="F14" s="59" t="n">
        <v>0.0001391</v>
      </c>
      <c r="G14" s="58" t="n">
        <v>1</v>
      </c>
      <c r="H14" s="58" t="n">
        <v>3</v>
      </c>
      <c r="I14" s="58" t="n">
        <v>0</v>
      </c>
      <c r="J14" s="50" t="n">
        <v>0</v>
      </c>
      <c r="K14" s="50" t="n">
        <v>0.6955000000000001</v>
      </c>
      <c r="L14" s="50" t="n">
        <v>12.96425</v>
      </c>
    </row>
    <row r="15">
      <c r="A15" s="48" t="n">
        <v>14</v>
      </c>
      <c r="B15" s="48" t="inlineStr">
        <is>
          <t>Asia</t>
        </is>
      </c>
      <c r="C15" s="58" t="n">
        <v>0</v>
      </c>
      <c r="D15" s="49" t="n">
        <v>0.275</v>
      </c>
      <c r="E15" s="59" t="n">
        <v>1.35602308673877</v>
      </c>
      <c r="F15" s="59" t="n">
        <v>0.00014365</v>
      </c>
      <c r="G15" s="58" t="n">
        <v>1</v>
      </c>
      <c r="H15" s="58" t="n">
        <v>5</v>
      </c>
      <c r="I15" s="58" t="n">
        <v>0</v>
      </c>
      <c r="J15" s="50" t="n">
        <v>0</v>
      </c>
      <c r="K15" s="50" t="n">
        <v>1.4365</v>
      </c>
      <c r="L15" s="50" t="n">
        <v>14.40075</v>
      </c>
    </row>
    <row r="16">
      <c r="A16" s="48" t="n">
        <v>15</v>
      </c>
      <c r="B16" s="48" t="inlineStr">
        <is>
          <t>Asia</t>
        </is>
      </c>
      <c r="C16" s="58" t="n">
        <v>0</v>
      </c>
      <c r="D16" s="49" t="n">
        <v>0.225</v>
      </c>
      <c r="E16" s="59" t="n">
        <v>1.355804975949864</v>
      </c>
      <c r="F16" s="59" t="n">
        <v>0.00015275</v>
      </c>
      <c r="G16" s="58" t="n">
        <v>1</v>
      </c>
      <c r="H16" s="58" t="n">
        <v>7</v>
      </c>
      <c r="I16" s="58" t="n">
        <v>0</v>
      </c>
      <c r="J16" s="50" t="n">
        <v>0</v>
      </c>
      <c r="K16" s="50" t="n">
        <v>1.5275</v>
      </c>
      <c r="L16" s="50" t="n">
        <v>15.92825</v>
      </c>
    </row>
    <row r="17">
      <c r="A17" s="48" t="n">
        <v>16</v>
      </c>
      <c r="B17" s="48" t="inlineStr">
        <is>
          <t>London</t>
        </is>
      </c>
      <c r="C17" s="58" t="n">
        <v>0</v>
      </c>
      <c r="D17" s="49" t="n">
        <v>0.175</v>
      </c>
      <c r="E17" s="59" t="n">
        <v>1.35581123220776</v>
      </c>
      <c r="F17" s="59" t="n">
        <v>0.0001089</v>
      </c>
      <c r="G17" s="58" t="n">
        <v>2</v>
      </c>
      <c r="H17" s="58" t="n">
        <v>1</v>
      </c>
      <c r="I17" s="58" t="n">
        <v>0</v>
      </c>
      <c r="J17" s="50" t="n">
        <v>0</v>
      </c>
      <c r="K17" s="50" t="n">
        <v>3.2355</v>
      </c>
      <c r="L17" s="50" t="n">
        <v>19.16375</v>
      </c>
    </row>
    <row r="18">
      <c r="A18" s="48" t="n">
        <v>17</v>
      </c>
      <c r="B18" s="48" t="inlineStr">
        <is>
          <t>London</t>
        </is>
      </c>
      <c r="C18" s="58" t="n">
        <v>0</v>
      </c>
      <c r="D18" s="49" t="n">
        <v>0.325</v>
      </c>
      <c r="E18" s="59" t="n">
        <v>1.355646802380519</v>
      </c>
      <c r="F18" s="59" t="n">
        <v>9.630000000000001e-05</v>
      </c>
      <c r="G18" s="58" t="n">
        <v>2</v>
      </c>
      <c r="H18" s="58" t="n">
        <v>-1</v>
      </c>
      <c r="I18" s="58" t="n">
        <v>0</v>
      </c>
      <c r="J18" s="50" t="n">
        <v>0</v>
      </c>
      <c r="K18" s="50" t="n">
        <v>2.8575</v>
      </c>
      <c r="L18" s="50" t="n">
        <v>22.02125</v>
      </c>
    </row>
    <row r="19">
      <c r="A19" s="48" t="n">
        <v>18</v>
      </c>
      <c r="B19" s="48" t="inlineStr">
        <is>
          <t>London</t>
        </is>
      </c>
      <c r="C19" s="58" t="n">
        <v>0</v>
      </c>
      <c r="D19" s="49" t="n">
        <v>0.375</v>
      </c>
      <c r="E19" s="59" t="n">
        <v>1.355741426786039</v>
      </c>
      <c r="F19" s="59" t="n">
        <v>9.945e-05</v>
      </c>
      <c r="G19" s="58" t="n">
        <v>2</v>
      </c>
      <c r="H19" s="58" t="n">
        <v>-7</v>
      </c>
      <c r="I19" s="58" t="n">
        <v>0</v>
      </c>
      <c r="J19" s="50" t="n">
        <v>0</v>
      </c>
      <c r="K19" s="50" t="n">
        <v>2.9205</v>
      </c>
      <c r="L19" s="50" t="n">
        <v>24.94175</v>
      </c>
    </row>
    <row r="20">
      <c r="A20" s="48" t="n">
        <v>19</v>
      </c>
      <c r="B20" s="48" t="inlineStr">
        <is>
          <t>London</t>
        </is>
      </c>
      <c r="C20" s="58" t="n">
        <v>0</v>
      </c>
      <c r="D20" s="49" t="n">
        <v>0.5249999999999999</v>
      </c>
      <c r="E20" s="59" t="n">
        <v>1.355839984682688</v>
      </c>
      <c r="F20" s="59" t="n">
        <v>0.0001089</v>
      </c>
      <c r="G20" s="58" t="n">
        <v>2</v>
      </c>
      <c r="H20" s="58" t="n">
        <v>0</v>
      </c>
      <c r="I20" s="58" t="n">
        <v>1</v>
      </c>
      <c r="J20" s="50" t="n">
        <v>2.1414375</v>
      </c>
      <c r="K20" s="50" t="n">
        <v>1.0940625</v>
      </c>
      <c r="L20" s="50" t="n">
        <v>26.0358125</v>
      </c>
    </row>
    <row r="21">
      <c r="A21" s="48" t="n">
        <v>20</v>
      </c>
      <c r="B21" s="48" t="inlineStr">
        <is>
          <t>London</t>
        </is>
      </c>
      <c r="C21" s="58" t="n">
        <v>0</v>
      </c>
      <c r="D21" s="49" t="n">
        <v>0.35</v>
      </c>
      <c r="E21" s="59" t="n">
        <v>1.356255920018958</v>
      </c>
      <c r="F21" s="59" t="n">
        <v>9.315000000000001e-05</v>
      </c>
      <c r="G21" s="58" t="n">
        <v>2</v>
      </c>
      <c r="H21" s="58" t="n">
        <v>6</v>
      </c>
      <c r="I21" s="58" t="n">
        <v>0</v>
      </c>
      <c r="J21" s="50" t="n">
        <v>0</v>
      </c>
      <c r="K21" s="50" t="n">
        <v>2.826</v>
      </c>
      <c r="L21" s="50" t="n">
        <v>28.8618125</v>
      </c>
    </row>
    <row r="22">
      <c r="A22" s="48" t="n">
        <v>21</v>
      </c>
      <c r="B22" s="48" t="inlineStr">
        <is>
          <t>London</t>
        </is>
      </c>
      <c r="C22" s="58" t="n">
        <v>0</v>
      </c>
      <c r="D22" s="49" t="n">
        <v>0.2</v>
      </c>
      <c r="E22" s="59" t="n">
        <v>1.356328353534979</v>
      </c>
      <c r="F22" s="59" t="n">
        <v>0.000104175</v>
      </c>
      <c r="G22" s="58" t="n">
        <v>2</v>
      </c>
      <c r="H22" s="58" t="n">
        <v>6</v>
      </c>
      <c r="I22" s="58" t="n">
        <v>0</v>
      </c>
      <c r="J22" s="50" t="n">
        <v>0</v>
      </c>
      <c r="K22" s="50" t="n">
        <v>3.12525</v>
      </c>
      <c r="L22" s="50" t="n">
        <v>31.9870625</v>
      </c>
    </row>
    <row r="23">
      <c r="A23" s="48" t="n">
        <v>22</v>
      </c>
      <c r="B23" s="48" t="inlineStr">
        <is>
          <t>London</t>
        </is>
      </c>
      <c r="C23" s="58" t="n">
        <v>0</v>
      </c>
      <c r="D23" s="49" t="n">
        <v>0.2</v>
      </c>
      <c r="E23" s="59" t="n">
        <v>1.355834571030652</v>
      </c>
      <c r="F23" s="59" t="n">
        <v>0.0001089</v>
      </c>
      <c r="G23" s="58" t="n">
        <v>1</v>
      </c>
      <c r="H23" s="58" t="n">
        <v>0</v>
      </c>
      <c r="I23" s="58" t="n">
        <v>1</v>
      </c>
      <c r="J23" s="50" t="n">
        <v>2.45025</v>
      </c>
      <c r="K23" s="50" t="n">
        <v>-0.2722500000000001</v>
      </c>
      <c r="L23" s="50" t="n">
        <v>31.7148125</v>
      </c>
    </row>
    <row r="24">
      <c r="A24" s="48" t="n">
        <v>23</v>
      </c>
      <c r="B24" s="48" t="inlineStr">
        <is>
          <t>London</t>
        </is>
      </c>
      <c r="C24" s="58" t="n">
        <v>0</v>
      </c>
      <c r="D24" s="49" t="n">
        <v>0.35</v>
      </c>
      <c r="E24" s="59" t="n">
        <v>1.355977859482017</v>
      </c>
      <c r="F24" s="59" t="n">
        <v>9.000000000000001e-05</v>
      </c>
      <c r="G24" s="58" t="n">
        <v>1</v>
      </c>
      <c r="H24" s="58" t="n">
        <v>3</v>
      </c>
      <c r="I24" s="58" t="n">
        <v>0</v>
      </c>
      <c r="J24" s="50" t="n">
        <v>0</v>
      </c>
      <c r="K24" s="50" t="n">
        <v>1.35</v>
      </c>
      <c r="L24" s="50" t="n">
        <v>33.0648125</v>
      </c>
    </row>
    <row r="25">
      <c r="A25" s="48" t="n">
        <v>24</v>
      </c>
      <c r="B25" s="48" t="inlineStr">
        <is>
          <t>London</t>
        </is>
      </c>
      <c r="C25" s="58" t="n">
        <v>0</v>
      </c>
      <c r="D25" s="49" t="n">
        <v>0.275</v>
      </c>
      <c r="E25" s="59" t="n">
        <v>1.355946089920097</v>
      </c>
      <c r="F25" s="59" t="n">
        <v>0.00010575</v>
      </c>
      <c r="G25" s="58" t="n">
        <v>2</v>
      </c>
      <c r="H25" s="58" t="n">
        <v>0</v>
      </c>
      <c r="I25" s="58" t="n">
        <v>1</v>
      </c>
      <c r="J25" s="50" t="n">
        <v>2.521125</v>
      </c>
      <c r="K25" s="50" t="n">
        <v>1.148625</v>
      </c>
      <c r="L25" s="50" t="n">
        <v>34.2134375</v>
      </c>
    </row>
    <row r="26">
      <c r="A26" s="48" t="n">
        <v>25</v>
      </c>
      <c r="B26" s="48" t="inlineStr">
        <is>
          <t>London</t>
        </is>
      </c>
      <c r="C26" s="58" t="n">
        <v>0</v>
      </c>
      <c r="D26" s="49" t="n">
        <v>0.35</v>
      </c>
      <c r="E26" s="59" t="n">
        <v>1.356044813571234</v>
      </c>
      <c r="F26" s="59" t="n">
        <v>9.000000000000001e-05</v>
      </c>
      <c r="G26" s="58" t="n">
        <v>1</v>
      </c>
      <c r="H26" s="58" t="n">
        <v>-2</v>
      </c>
      <c r="I26" s="58" t="n">
        <v>0</v>
      </c>
      <c r="J26" s="50" t="n">
        <v>0</v>
      </c>
      <c r="K26" s="50" t="n">
        <v>0.9</v>
      </c>
      <c r="L26" s="50" t="n">
        <v>35.1134375</v>
      </c>
    </row>
    <row r="27">
      <c r="A27" s="48" t="n">
        <v>26</v>
      </c>
      <c r="B27" s="48" t="inlineStr">
        <is>
          <t>London</t>
        </is>
      </c>
      <c r="C27" s="58" t="n">
        <v>0</v>
      </c>
      <c r="D27" s="49" t="n">
        <v>0.4</v>
      </c>
      <c r="E27" s="59" t="n">
        <v>1.356441619473344</v>
      </c>
      <c r="F27" s="59" t="n">
        <v>9.630000000000001e-05</v>
      </c>
      <c r="G27" s="58" t="n">
        <v>1</v>
      </c>
      <c r="H27" s="58" t="n">
        <v>1</v>
      </c>
      <c r="I27" s="58" t="n">
        <v>0</v>
      </c>
      <c r="J27" s="50" t="n">
        <v>0</v>
      </c>
      <c r="K27" s="50" t="n">
        <v>1.4445</v>
      </c>
      <c r="L27" s="50" t="n">
        <v>36.5579375</v>
      </c>
    </row>
    <row r="28">
      <c r="A28" s="48" t="n">
        <v>27</v>
      </c>
      <c r="B28" s="48" t="inlineStr">
        <is>
          <t>London</t>
        </is>
      </c>
      <c r="C28" s="58" t="n">
        <v>0</v>
      </c>
      <c r="D28" s="49" t="n">
        <v>0.325</v>
      </c>
      <c r="E28" s="59" t="n">
        <v>1.356730852093919</v>
      </c>
      <c r="F28" s="59" t="n">
        <v>9.315e-05</v>
      </c>
      <c r="G28" s="58" t="n">
        <v>1</v>
      </c>
      <c r="H28" s="58" t="n">
        <v>4</v>
      </c>
      <c r="I28" s="58" t="n">
        <v>0</v>
      </c>
      <c r="J28" s="50" t="n">
        <v>0</v>
      </c>
      <c r="K28" s="50" t="n">
        <v>1.39725</v>
      </c>
      <c r="L28" s="50" t="n">
        <v>37.9551875</v>
      </c>
    </row>
    <row r="29">
      <c r="A29" s="48" t="n">
        <v>28</v>
      </c>
      <c r="B29" s="48" t="inlineStr">
        <is>
          <t>London</t>
        </is>
      </c>
      <c r="C29" s="58" t="n">
        <v>0</v>
      </c>
      <c r="D29" s="49" t="n">
        <v>0.25</v>
      </c>
      <c r="E29" s="59" t="n">
        <v>1.356447531960847</v>
      </c>
      <c r="F29" s="59" t="n">
        <v>0.0001026</v>
      </c>
      <c r="G29" s="58" t="n">
        <v>1</v>
      </c>
      <c r="H29" s="58" t="n">
        <v>7</v>
      </c>
      <c r="I29" s="58" t="n">
        <v>0</v>
      </c>
      <c r="J29" s="50" t="n">
        <v>0</v>
      </c>
      <c r="K29" s="50" t="n">
        <v>1.539</v>
      </c>
      <c r="L29" s="50" t="n">
        <v>39.4941875</v>
      </c>
    </row>
    <row r="30">
      <c r="A30" s="48" t="n">
        <v>29</v>
      </c>
      <c r="B30" s="48" t="inlineStr">
        <is>
          <t>London</t>
        </is>
      </c>
      <c r="C30" s="58" t="n">
        <v>0</v>
      </c>
      <c r="D30" s="49" t="n">
        <v>0.175</v>
      </c>
      <c r="E30" s="59" t="n">
        <v>1.356344619938899</v>
      </c>
      <c r="F30" s="59" t="n">
        <v>0.00011205</v>
      </c>
      <c r="G30" s="58" t="n">
        <v>1</v>
      </c>
      <c r="H30" s="58" t="n">
        <v>4</v>
      </c>
      <c r="I30" s="58" t="n">
        <v>0</v>
      </c>
      <c r="J30" s="50" t="n">
        <v>0</v>
      </c>
      <c r="K30" s="50" t="n">
        <v>1.68075</v>
      </c>
      <c r="L30" s="50" t="n">
        <v>41.17493750000001</v>
      </c>
    </row>
    <row r="31">
      <c r="A31" s="48" t="n">
        <v>30</v>
      </c>
      <c r="B31" s="48" t="inlineStr">
        <is>
          <t>London</t>
        </is>
      </c>
      <c r="C31" s="58" t="n">
        <v>0</v>
      </c>
      <c r="D31" s="49" t="n">
        <v>0.25</v>
      </c>
      <c r="E31" s="59" t="n">
        <v>1.356259887014284</v>
      </c>
      <c r="F31" s="59" t="n">
        <v>9.630000000000001e-05</v>
      </c>
      <c r="G31" s="58" t="n">
        <v>2</v>
      </c>
      <c r="H31" s="58" t="n">
        <v>4</v>
      </c>
      <c r="I31" s="58" t="n">
        <v>1</v>
      </c>
      <c r="J31" s="50" t="n">
        <v>1.8468</v>
      </c>
      <c r="K31" s="50" t="n">
        <v>2.0052</v>
      </c>
      <c r="L31" s="50" t="n">
        <v>43.18013750000001</v>
      </c>
    </row>
    <row r="32">
      <c r="A32" s="48" t="n">
        <v>31</v>
      </c>
      <c r="B32" s="48" t="inlineStr">
        <is>
          <t>London</t>
        </is>
      </c>
      <c r="C32" s="58" t="n">
        <v>0</v>
      </c>
      <c r="D32" s="49" t="n">
        <v>0.25</v>
      </c>
      <c r="E32" s="59" t="n">
        <v>1.356432057728294</v>
      </c>
      <c r="F32" s="59" t="n">
        <v>0.000107325</v>
      </c>
      <c r="G32" s="58" t="n">
        <v>2</v>
      </c>
      <c r="H32" s="58" t="n">
        <v>0</v>
      </c>
      <c r="I32" s="58" t="n">
        <v>1</v>
      </c>
      <c r="J32" s="50" t="n">
        <v>2.521125</v>
      </c>
      <c r="K32" s="50" t="n">
        <v>0.6986250000000003</v>
      </c>
      <c r="L32" s="50" t="n">
        <v>43.87876250000001</v>
      </c>
    </row>
    <row r="33">
      <c r="A33" s="48" t="n">
        <v>32</v>
      </c>
      <c r="B33" s="48" t="inlineStr">
        <is>
          <t>London</t>
        </is>
      </c>
      <c r="C33" s="58" t="n">
        <v>0</v>
      </c>
      <c r="D33" s="49" t="n">
        <v>0.35</v>
      </c>
      <c r="E33" s="59" t="n">
        <v>1.356376104581365</v>
      </c>
      <c r="F33" s="59" t="n">
        <v>9.000000000000001e-05</v>
      </c>
      <c r="G33" s="58" t="n">
        <v>1</v>
      </c>
      <c r="H33" s="58" t="n">
        <v>3</v>
      </c>
      <c r="I33" s="58" t="n">
        <v>0</v>
      </c>
      <c r="J33" s="50" t="n">
        <v>0</v>
      </c>
      <c r="K33" s="50" t="n">
        <v>1.35</v>
      </c>
      <c r="L33" s="50" t="n">
        <v>45.22876250000001</v>
      </c>
    </row>
    <row r="34">
      <c r="A34" s="48" t="n">
        <v>33</v>
      </c>
      <c r="B34" s="48" t="inlineStr">
        <is>
          <t>London</t>
        </is>
      </c>
      <c r="C34" s="58" t="n">
        <v>0</v>
      </c>
      <c r="D34" s="49" t="n">
        <v>0.275</v>
      </c>
      <c r="E34" s="59" t="n">
        <v>1.355944794924695</v>
      </c>
      <c r="F34" s="59" t="n">
        <v>9.945e-05</v>
      </c>
      <c r="G34" s="58" t="n">
        <v>1</v>
      </c>
      <c r="H34" s="58" t="n">
        <v>6</v>
      </c>
      <c r="I34" s="58" t="n">
        <v>0</v>
      </c>
      <c r="J34" s="50" t="n">
        <v>0</v>
      </c>
      <c r="K34" s="50" t="n">
        <v>1.49175</v>
      </c>
      <c r="L34" s="50" t="n">
        <v>46.72051250000001</v>
      </c>
    </row>
    <row r="35">
      <c r="A35" s="48" t="n">
        <v>34</v>
      </c>
      <c r="B35" s="48" t="inlineStr">
        <is>
          <t>London</t>
        </is>
      </c>
      <c r="C35" s="58" t="n">
        <v>0</v>
      </c>
      <c r="D35" s="49" t="n">
        <v>0.2</v>
      </c>
      <c r="E35" s="59" t="n">
        <v>1.355692969145011</v>
      </c>
      <c r="F35" s="59" t="n">
        <v>9.945e-05</v>
      </c>
      <c r="G35" s="58" t="n">
        <v>2</v>
      </c>
      <c r="H35" s="58" t="n">
        <v>4</v>
      </c>
      <c r="I35" s="58" t="n">
        <v>1</v>
      </c>
      <c r="J35" s="50" t="n">
        <v>1.9602</v>
      </c>
      <c r="K35" s="50" t="n">
        <v>0.9288000000000001</v>
      </c>
      <c r="L35" s="50" t="n">
        <v>47.64931250000001</v>
      </c>
    </row>
    <row r="36">
      <c r="A36" s="48" t="n">
        <v>35</v>
      </c>
      <c r="B36" s="48" t="inlineStr">
        <is>
          <t>London</t>
        </is>
      </c>
      <c r="C36" s="58" t="n">
        <v>0</v>
      </c>
      <c r="D36" s="49" t="n">
        <v>0.25</v>
      </c>
      <c r="E36" s="59" t="n">
        <v>1.355270551921155</v>
      </c>
      <c r="F36" s="59" t="n">
        <v>0.0001026</v>
      </c>
      <c r="G36" s="58" t="n">
        <v>1</v>
      </c>
      <c r="H36" s="58" t="n">
        <v>7</v>
      </c>
      <c r="I36" s="58" t="n">
        <v>0</v>
      </c>
      <c r="J36" s="50" t="n">
        <v>0</v>
      </c>
      <c r="K36" s="50" t="n">
        <v>1.539</v>
      </c>
      <c r="L36" s="50" t="n">
        <v>49.18831250000002</v>
      </c>
    </row>
    <row r="37">
      <c r="A37" s="48" t="n">
        <v>36</v>
      </c>
      <c r="B37" s="48" t="inlineStr">
        <is>
          <t>NY</t>
        </is>
      </c>
      <c r="C37" s="58" t="n">
        <v>0</v>
      </c>
      <c r="D37" s="49" t="n">
        <v>0.175</v>
      </c>
      <c r="E37" s="59" t="n">
        <v>1.354962504739887</v>
      </c>
      <c r="F37" s="59" t="n">
        <v>0.00013695</v>
      </c>
      <c r="G37" s="58" t="n">
        <v>1</v>
      </c>
      <c r="H37" s="58" t="n">
        <v>0</v>
      </c>
      <c r="I37" s="58" t="n">
        <v>1</v>
      </c>
      <c r="J37" s="50" t="n">
        <v>3.235443750000001</v>
      </c>
      <c r="K37" s="50" t="n">
        <v>-1.865943750000001</v>
      </c>
      <c r="L37" s="50" t="n">
        <v>47.32236875000002</v>
      </c>
    </row>
    <row r="38">
      <c r="A38" s="48" t="n">
        <v>37</v>
      </c>
      <c r="B38" s="48" t="inlineStr">
        <is>
          <t>NY</t>
        </is>
      </c>
      <c r="C38" s="58" t="n">
        <v>0</v>
      </c>
      <c r="D38" s="49" t="n">
        <v>0.35</v>
      </c>
      <c r="E38" s="59" t="n">
        <v>1.35459416299351</v>
      </c>
      <c r="F38" s="59" t="n">
        <v>0.00011</v>
      </c>
      <c r="G38" s="58" t="n">
        <v>1</v>
      </c>
      <c r="H38" s="58" t="n">
        <v>-3</v>
      </c>
      <c r="I38" s="58" t="n">
        <v>0</v>
      </c>
      <c r="J38" s="50" t="n">
        <v>0</v>
      </c>
      <c r="K38" s="50" t="n">
        <v>1.65</v>
      </c>
      <c r="L38" s="50" t="n">
        <v>48.97236875000002</v>
      </c>
    </row>
    <row r="39">
      <c r="A39" s="48" t="n">
        <v>38</v>
      </c>
      <c r="B39" s="48" t="inlineStr">
        <is>
          <t>NY</t>
        </is>
      </c>
      <c r="C39" s="58" t="n">
        <v>0</v>
      </c>
      <c r="D39" s="49" t="n">
        <v>0.425</v>
      </c>
      <c r="E39" s="59" t="n">
        <v>1.354775051482862</v>
      </c>
      <c r="F39" s="59" t="n">
        <v>0.00012155</v>
      </c>
      <c r="G39" s="58" t="n">
        <v>1</v>
      </c>
      <c r="H39" s="58" t="n">
        <v>0</v>
      </c>
      <c r="I39" s="58" t="n">
        <v>0</v>
      </c>
      <c r="J39" s="50" t="n">
        <v>0</v>
      </c>
      <c r="K39" s="50" t="n">
        <v>1.82325</v>
      </c>
      <c r="L39" s="50" t="n">
        <v>50.79561875000002</v>
      </c>
    </row>
    <row r="40">
      <c r="A40" s="48" t="n">
        <v>39</v>
      </c>
      <c r="B40" s="48" t="inlineStr">
        <is>
          <t>NY</t>
        </is>
      </c>
      <c r="C40" s="58" t="n">
        <v>0</v>
      </c>
      <c r="D40" s="49" t="n">
        <v>0.35</v>
      </c>
      <c r="E40" s="59" t="n">
        <v>1.354837140638942</v>
      </c>
      <c r="F40" s="59" t="n">
        <v>0.00011</v>
      </c>
      <c r="G40" s="58" t="n">
        <v>1</v>
      </c>
      <c r="H40" s="58" t="n">
        <v>3</v>
      </c>
      <c r="I40" s="58" t="n">
        <v>0</v>
      </c>
      <c r="J40" s="50" t="n">
        <v>0</v>
      </c>
      <c r="K40" s="50" t="n">
        <v>1.65</v>
      </c>
      <c r="L40" s="50" t="n">
        <v>52.44561875000002</v>
      </c>
    </row>
    <row r="41">
      <c r="A41" s="48" t="n">
        <v>40</v>
      </c>
      <c r="B41" s="48" t="inlineStr">
        <is>
          <t>NY</t>
        </is>
      </c>
      <c r="C41" s="58" t="n">
        <v>0</v>
      </c>
      <c r="D41" s="49" t="n">
        <v>0.275</v>
      </c>
      <c r="E41" s="59" t="n">
        <v>1.354675994105301</v>
      </c>
      <c r="F41" s="59" t="n">
        <v>0.00012155</v>
      </c>
      <c r="G41" s="58" t="n">
        <v>1</v>
      </c>
      <c r="H41" s="58" t="n">
        <v>4</v>
      </c>
      <c r="I41" s="58" t="n">
        <v>0</v>
      </c>
      <c r="J41" s="50" t="n">
        <v>0</v>
      </c>
      <c r="K41" s="50" t="n">
        <v>0.6077500000000001</v>
      </c>
      <c r="L41" s="50" t="n">
        <v>53.05336875000002</v>
      </c>
    </row>
    <row r="42">
      <c r="A42" s="48" t="n">
        <v>41</v>
      </c>
      <c r="B42" s="48" t="inlineStr">
        <is>
          <t>NY</t>
        </is>
      </c>
      <c r="C42" s="58" t="n">
        <v>0</v>
      </c>
      <c r="D42" s="49" t="n">
        <v>0.25</v>
      </c>
      <c r="E42" s="59" t="n">
        <v>1.354733024071171</v>
      </c>
      <c r="F42" s="59" t="n">
        <v>0.0001254</v>
      </c>
      <c r="G42" s="58" t="n">
        <v>1</v>
      </c>
      <c r="H42" s="58" t="n">
        <v>1</v>
      </c>
      <c r="I42" s="58" t="n">
        <v>0</v>
      </c>
      <c r="J42" s="50" t="n">
        <v>0</v>
      </c>
      <c r="K42" s="50" t="n">
        <v>1.881</v>
      </c>
      <c r="L42" s="50" t="n">
        <v>54.93436875000002</v>
      </c>
    </row>
    <row r="43">
      <c r="A43" s="48" t="n">
        <v>42</v>
      </c>
      <c r="B43" s="48" t="inlineStr">
        <is>
          <t>NY</t>
        </is>
      </c>
      <c r="C43" s="58" t="n">
        <v>0</v>
      </c>
      <c r="D43" s="49" t="n">
        <v>0.325</v>
      </c>
      <c r="E43" s="59" t="n">
        <v>1.355162807958262</v>
      </c>
      <c r="F43" s="59" t="n">
        <v>0.00011385</v>
      </c>
      <c r="G43" s="58" t="n">
        <v>1</v>
      </c>
      <c r="H43" s="58" t="n">
        <v>-1</v>
      </c>
      <c r="I43" s="58" t="n">
        <v>0</v>
      </c>
      <c r="J43" s="50" t="n">
        <v>0</v>
      </c>
      <c r="K43" s="50" t="n">
        <v>1.1385</v>
      </c>
      <c r="L43" s="50" t="n">
        <v>56.07286875000002</v>
      </c>
    </row>
    <row r="44">
      <c r="A44" s="48" t="n">
        <v>43</v>
      </c>
      <c r="B44" s="48" t="inlineStr">
        <is>
          <t>NY</t>
        </is>
      </c>
      <c r="C44" s="58" t="n">
        <v>0</v>
      </c>
      <c r="D44" s="49" t="n">
        <v>0.375</v>
      </c>
      <c r="E44" s="59" t="n">
        <v>1.355694931358767</v>
      </c>
      <c r="F44" s="59" t="n">
        <v>0.00011385</v>
      </c>
      <c r="G44" s="58" t="n">
        <v>1</v>
      </c>
      <c r="H44" s="58" t="n">
        <v>-2</v>
      </c>
      <c r="I44" s="58" t="n">
        <v>0</v>
      </c>
      <c r="J44" s="50" t="n">
        <v>0</v>
      </c>
      <c r="K44" s="50" t="n">
        <v>0.56925</v>
      </c>
      <c r="L44" s="50" t="n">
        <v>56.64211875000002</v>
      </c>
    </row>
    <row r="45">
      <c r="A45" s="48" t="n">
        <v>44</v>
      </c>
      <c r="B45" s="48" t="inlineStr">
        <is>
          <t>NY</t>
        </is>
      </c>
      <c r="C45" s="58" t="n">
        <v>0</v>
      </c>
      <c r="D45" s="49" t="n">
        <v>0.4</v>
      </c>
      <c r="E45" s="59" t="n">
        <v>1.355916909340847</v>
      </c>
      <c r="F45" s="59" t="n">
        <v>0.0001177</v>
      </c>
      <c r="G45" s="58" t="n">
        <v>1</v>
      </c>
      <c r="H45" s="58" t="n">
        <v>-5</v>
      </c>
      <c r="I45" s="58" t="n">
        <v>0</v>
      </c>
      <c r="J45" s="50" t="n">
        <v>0</v>
      </c>
      <c r="K45" s="50" t="n">
        <v>1.7655</v>
      </c>
      <c r="L45" s="50" t="n">
        <v>58.40761875000002</v>
      </c>
    </row>
    <row r="46">
      <c r="A46" s="48" t="n">
        <v>45</v>
      </c>
      <c r="B46" s="48" t="inlineStr">
        <is>
          <t>NY</t>
        </is>
      </c>
      <c r="C46" s="58" t="n">
        <v>0</v>
      </c>
      <c r="D46" s="49" t="n">
        <v>0.475</v>
      </c>
      <c r="E46" s="59" t="n">
        <v>1.356224179664842</v>
      </c>
      <c r="F46" s="59" t="n">
        <v>0.00012925</v>
      </c>
      <c r="G46" s="58" t="n">
        <v>1</v>
      </c>
      <c r="H46" s="58" t="n">
        <v>-2</v>
      </c>
      <c r="I46" s="58" t="n">
        <v>0</v>
      </c>
      <c r="J46" s="50" t="n">
        <v>0</v>
      </c>
      <c r="K46" s="50" t="n">
        <v>1.93875</v>
      </c>
      <c r="L46" s="50" t="n">
        <v>60.34636875000002</v>
      </c>
    </row>
    <row r="47">
      <c r="A47" s="48" t="n">
        <v>46</v>
      </c>
      <c r="B47" s="48" t="inlineStr">
        <is>
          <t>NY</t>
        </is>
      </c>
      <c r="C47" s="58" t="n">
        <v>0</v>
      </c>
      <c r="D47" s="49" t="n">
        <v>0.4</v>
      </c>
      <c r="E47" s="59" t="n">
        <v>1.356592643626682</v>
      </c>
      <c r="F47" s="59" t="n">
        <v>0.0001177</v>
      </c>
      <c r="G47" s="58" t="n">
        <v>1</v>
      </c>
      <c r="H47" s="58" t="n">
        <v>0</v>
      </c>
      <c r="I47" s="58" t="n">
        <v>0</v>
      </c>
      <c r="J47" s="50" t="n">
        <v>0</v>
      </c>
      <c r="K47" s="50" t="n">
        <v>1.177</v>
      </c>
      <c r="L47" s="50" t="n">
        <v>61.52336875000002</v>
      </c>
    </row>
    <row r="48">
      <c r="A48" s="48" t="n">
        <v>47</v>
      </c>
      <c r="B48" s="48" t="inlineStr">
        <is>
          <t>NY</t>
        </is>
      </c>
      <c r="C48" s="58" t="n">
        <v>0</v>
      </c>
      <c r="D48" s="49" t="n">
        <v>0.35</v>
      </c>
      <c r="E48" s="59" t="n">
        <v>1.356587598769398</v>
      </c>
      <c r="F48" s="59" t="n">
        <v>0.00011</v>
      </c>
      <c r="G48" s="58" t="n">
        <v>1</v>
      </c>
      <c r="H48" s="58" t="n">
        <v>3</v>
      </c>
      <c r="I48" s="58" t="n">
        <v>0</v>
      </c>
      <c r="J48" s="50" t="n">
        <v>0</v>
      </c>
      <c r="K48" s="50" t="n">
        <v>1.65</v>
      </c>
      <c r="L48" s="50" t="n">
        <v>63.17336875000002</v>
      </c>
    </row>
    <row r="49">
      <c r="A49" s="48" t="n">
        <v>48</v>
      </c>
      <c r="B49" s="48" t="inlineStr">
        <is>
          <t>NY</t>
        </is>
      </c>
      <c r="C49" s="58" t="n">
        <v>0</v>
      </c>
      <c r="D49" s="49" t="n">
        <v>0.275</v>
      </c>
      <c r="E49" s="59" t="n">
        <v>1.356768806791955</v>
      </c>
      <c r="F49" s="59" t="n">
        <v>0.00012155</v>
      </c>
      <c r="G49" s="58" t="n">
        <v>1</v>
      </c>
      <c r="H49" s="58" t="n">
        <v>1</v>
      </c>
      <c r="I49" s="58" t="n">
        <v>0</v>
      </c>
      <c r="J49" s="50" t="n">
        <v>0</v>
      </c>
      <c r="K49" s="50" t="n">
        <v>1.2155</v>
      </c>
      <c r="L49" s="50" t="n">
        <v>64.38886875000001</v>
      </c>
    </row>
    <row r="50">
      <c r="A50" s="48" t="n">
        <v>49</v>
      </c>
      <c r="B50" s="48" t="inlineStr">
        <is>
          <t>NY</t>
        </is>
      </c>
      <c r="C50" s="58" t="n">
        <v>0</v>
      </c>
      <c r="D50" s="49" t="n">
        <v>0.325</v>
      </c>
      <c r="E50" s="59" t="n">
        <v>1.356834310028352</v>
      </c>
      <c r="F50" s="59" t="n">
        <v>0.00011385</v>
      </c>
      <c r="G50" s="58" t="n">
        <v>1</v>
      </c>
      <c r="H50" s="58" t="n">
        <v>4</v>
      </c>
      <c r="I50" s="58" t="n">
        <v>0</v>
      </c>
      <c r="J50" s="50" t="n">
        <v>0</v>
      </c>
      <c r="K50" s="50" t="n">
        <v>1.70775</v>
      </c>
      <c r="L50" s="50" t="n">
        <v>66.09661875000002</v>
      </c>
    </row>
    <row r="51">
      <c r="A51" s="48" t="n">
        <v>50</v>
      </c>
      <c r="B51" s="48" t="inlineStr">
        <is>
          <t>NY</t>
        </is>
      </c>
      <c r="C51" s="58" t="n">
        <v>0</v>
      </c>
      <c r="D51" s="49" t="n">
        <v>0.25</v>
      </c>
      <c r="E51" s="59" t="n">
        <v>1.356971733307057</v>
      </c>
      <c r="F51" s="59" t="n">
        <v>0.0001254</v>
      </c>
      <c r="G51" s="58" t="n">
        <v>1</v>
      </c>
      <c r="H51" s="58" t="n">
        <v>3</v>
      </c>
      <c r="I51" s="58" t="n">
        <v>0</v>
      </c>
      <c r="J51" s="50" t="n">
        <v>0</v>
      </c>
      <c r="K51" s="50" t="n">
        <v>0.6270000000000001</v>
      </c>
      <c r="L51" s="50" t="n">
        <v>66.72361875000001</v>
      </c>
    </row>
    <row r="52"/>
    <row r="53"/>
    <row r="54">
      <c r="A54" s="18" t="inlineStr">
        <is>
          <t>Metric</t>
        </is>
      </c>
      <c r="B54" s="18" t="inlineStr">
        <is>
          <t>Value</t>
        </is>
      </c>
    </row>
    <row r="55">
      <c r="A55" s="48" t="inlineStr">
        <is>
          <t>Pair</t>
        </is>
      </c>
      <c r="B55" s="59" t="inlineStr">
        <is>
          <t>USDCAD</t>
        </is>
      </c>
    </row>
    <row r="56">
      <c r="A56" s="48" t="inlineStr">
        <is>
          <t>Seed</t>
        </is>
      </c>
      <c r="B56" s="59" t="n">
        <v>1.083037108254438e+19</v>
      </c>
    </row>
    <row r="57">
      <c r="A57" s="48" t="inlineStr">
        <is>
          <t>inventory_end</t>
        </is>
      </c>
      <c r="B57" s="59" t="n">
        <v>3</v>
      </c>
    </row>
    <row r="58">
      <c r="A58" s="48" t="inlineStr">
        <is>
          <t>hedge_actions</t>
        </is>
      </c>
      <c r="B58" s="59" t="n">
        <v>7</v>
      </c>
    </row>
    <row r="59">
      <c r="A59" s="48" t="inlineStr">
        <is>
          <t>avg_spread</t>
        </is>
      </c>
      <c r="B59" s="59" t="n">
        <v>0.000137627</v>
      </c>
    </row>
    <row r="60">
      <c r="A60" s="48" t="inlineStr">
        <is>
          <t>liquidity_risk_label</t>
        </is>
      </c>
      <c r="B60" s="59" t="inlineStr">
        <is>
          <t>high</t>
        </is>
      </c>
    </row>
    <row r="61">
      <c r="A61" s="48" t="inlineStr">
        <is>
          <t>breached_limit</t>
        </is>
      </c>
      <c r="B61" s="59" t="n">
        <v>0</v>
      </c>
    </row>
    <row r="62">
      <c r="A62" s="48" t="inlineStr">
        <is>
          <t>cum_pnl</t>
        </is>
      </c>
      <c r="B62" s="59" t="n">
        <v>66.72361875000001</v>
      </c>
    </row>
    <row r="63">
      <c r="A63" s="48" t="inlineStr">
        <is>
          <t>hedge_count_asia</t>
        </is>
      </c>
      <c r="B63" s="59" t="n">
        <v>0</v>
      </c>
    </row>
    <row r="64">
      <c r="A64" s="48" t="inlineStr">
        <is>
          <t>hedge_count_london</t>
        </is>
      </c>
      <c r="B64" s="59" t="n">
        <v>6</v>
      </c>
    </row>
    <row r="65">
      <c r="A65" s="48" t="inlineStr">
        <is>
          <t>hedge_count_ny</t>
        </is>
      </c>
      <c r="B65" s="59" t="n">
        <v>1</v>
      </c>
    </row>
    <row r="66">
      <c r="A66" s="48" t="inlineStr">
        <is>
          <t>avg_spread_asia</t>
        </is>
      </c>
      <c r="B66" s="59" t="n">
        <v>0.0001378866666666667</v>
      </c>
    </row>
    <row r="67">
      <c r="A67" s="48" t="inlineStr">
        <is>
          <t>avg_spread_london</t>
        </is>
      </c>
      <c r="B67" s="59" t="n">
        <v>0.000100815</v>
      </c>
    </row>
    <row r="68">
      <c r="A68" s="48" t="inlineStr">
        <is>
          <t>avg_spread_ny</t>
        </is>
      </c>
      <c r="B68" s="59" t="n">
        <v>0.00011924</v>
      </c>
    </row>
    <row r="69">
      <c r="A69" s="48" t="inlineStr">
        <is>
          <t>event_window_pnl</t>
        </is>
      </c>
      <c r="B69" s="59" t="n">
        <v>0</v>
      </c>
    </row>
    <row r="70">
      <c r="A70" s="48" t="inlineStr">
        <is>
          <t>event_window_max_inv</t>
        </is>
      </c>
      <c r="B70" s="59" t="n">
        <v>0</v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1"/>
  <sheetViews>
    <sheetView topLeftCell="A70" workbookViewId="0">
      <selection activeCell="A88" sqref="A88"/>
    </sheetView>
  </sheetViews>
  <sheetFormatPr baseColWidth="8" defaultRowHeight="15" outlineLevelCol="0"/>
  <cols>
    <col width="15" bestFit="1" customWidth="1" min="1" max="1"/>
    <col width="21" customWidth="1" min="2" max="2"/>
  </cols>
  <sheetData>
    <row r="1">
      <c r="A1" t="inlineStr">
        <is>
          <t>Last Updated</t>
        </is>
      </c>
      <c r="B1" s="52" t="inlineStr">
        <is>
          <t>2026-02-12 09:38:02</t>
        </is>
      </c>
    </row>
    <row r="2"/>
    <row r="3"/>
    <row r="4"/>
    <row r="5"/>
    <row r="6">
      <c r="A6" s="53" t="inlineStr">
        <is>
          <t>Slope Metrics</t>
        </is>
      </c>
    </row>
    <row r="7">
      <c r="A7" s="18" t="inlineStr">
        <is>
          <t>Metric</t>
        </is>
      </c>
      <c r="B7" s="18" t="inlineStr">
        <is>
          <t>Value</t>
        </is>
      </c>
    </row>
    <row r="8">
      <c r="A8" s="48" t="inlineStr">
        <is>
          <t>US 2s10s (bp)</t>
        </is>
      </c>
      <c r="B8" s="50" t="n">
        <v>71</v>
      </c>
    </row>
    <row r="9">
      <c r="A9" s="48" t="inlineStr">
        <is>
          <t>US 3M10Y (bp)</t>
        </is>
      </c>
      <c r="B9" s="50" t="n">
        <v>47.00000000000002</v>
      </c>
    </row>
    <row r="10">
      <c r="A10" s="48" t="inlineStr">
        <is>
          <t>US 2s5s (bp)</t>
        </is>
      </c>
      <c r="B10" s="50" t="n">
        <v>25</v>
      </c>
    </row>
    <row r="11">
      <c r="A11" s="48" t="inlineStr">
        <is>
          <t>CA 2s10s (bp)</t>
        </is>
      </c>
      <c r="B11" s="50" t="n">
        <v>81.99999999999999</v>
      </c>
    </row>
    <row r="12">
      <c r="A12" s="48" t="inlineStr">
        <is>
          <t>CA 2s5s (bp)</t>
        </is>
      </c>
      <c r="B12" s="50" t="n">
        <v>35.00000000000001</v>
      </c>
    </row>
    <row r="13"/>
    <row r="14">
      <c r="A14" s="53" t="inlineStr">
        <is>
          <t>Slope Interpretation</t>
        </is>
      </c>
    </row>
    <row r="15">
      <c r="A15" s="54" t="inlineStr">
        <is>
          <t>'- US curve normal (2s10s = 71 bp).</t>
        </is>
      </c>
    </row>
    <row r="16">
      <c r="A16" s="52" t="inlineStr">
        <is>
          <t>'- US 3M–10Y is positive (47 bp).</t>
        </is>
      </c>
    </row>
    <row r="17">
      <c r="A17" s="52" t="inlineStr">
        <is>
          <t>'- Canada curve normal (2s10s = 82 bp).</t>
        </is>
      </c>
    </row>
    <row r="18">
      <c r="A18" s="52" t="inlineStr">
        <is>
          <t>'- Canada 3M–10Y is positive (115 bp).</t>
        </is>
      </c>
    </row>
    <row r="19">
      <c r="A19" s="52" t="inlineStr">
        <is>
          <t>'- US 2s10s stable vs prior (-3 bp).</t>
        </is>
      </c>
    </row>
    <row r="20">
      <c r="A20" s="52" t="inlineStr">
        <is>
          <t>'- Canada 2s10s stable vs prior (-1 bp).</t>
        </is>
      </c>
    </row>
    <row r="21">
      <c r="A21" s="52" t="inlineStr">
        <is>
          <t>'- Canada curve steeper than US by 11 bp (earlier easing priced in CA).</t>
        </is>
      </c>
    </row>
    <row r="22"/>
    <row r="23">
      <c r="A23" s="53" t="inlineStr">
        <is>
          <t>Rates Regime Tags</t>
        </is>
      </c>
    </row>
    <row r="24">
      <c r="A24" s="52" t="inlineStr">
        <is>
          <t>US_RATES_REGIME: US_NORMAL_STABLE_MIXED</t>
        </is>
      </c>
    </row>
    <row r="25">
      <c r="A25" s="52" t="inlineStr">
        <is>
          <t>CA_RATES_REGIME: CA_NORMAL_STABLE_MIXED</t>
        </is>
      </c>
    </row>
    <row r="26"/>
    <row r="27">
      <c r="A27" s="53" t="inlineStr">
        <is>
          <t>Rates Interpretation</t>
        </is>
      </c>
    </row>
    <row r="28">
      <c r="A28" s="52" t="inlineStr">
        <is>
          <t>'- US curve: normal (2s10s 71 bp).</t>
        </is>
      </c>
    </row>
    <row r="29">
      <c r="A29" s="52" t="inlineStr">
        <is>
          <t>'- US curve momentum: stable (-3 bp vs prior).</t>
        </is>
      </c>
    </row>
    <row r="30">
      <c r="A30" s="52" t="inlineStr">
        <is>
          <t>'- US daily move type: Bear Flattening.</t>
        </is>
      </c>
    </row>
    <row r="31">
      <c r="A31" s="52" t="inlineStr">
        <is>
          <t>'- US driver: Mixed-led.</t>
        </is>
      </c>
    </row>
    <row r="32">
      <c r="A32" s="52" t="inlineStr">
        <is>
          <t>'- Canada curve: normal (2s10s 82 bp).</t>
        </is>
      </c>
    </row>
    <row r="33">
      <c r="A33" s="52" t="inlineStr">
        <is>
          <t>'- Canada curve momentum: stable (-1 bp vs prior).</t>
        </is>
      </c>
    </row>
    <row r="34">
      <c r="A34" s="52" t="inlineStr">
        <is>
          <t>'- Canada daily move type: Bear Flattening.</t>
        </is>
      </c>
    </row>
    <row r="35">
      <c r="A35" s="52" t="inlineStr">
        <is>
          <t>'- Canada driver: Mixed-led.</t>
        </is>
      </c>
    </row>
    <row r="36">
      <c r="A36" s="52" t="inlineStr">
        <is>
          <t>'- Canada curve steeper than US by 11 bp (CA easing premium).</t>
        </is>
      </c>
    </row>
    <row r="37"/>
    <row r="38"/>
    <row r="39">
      <c r="A39" s="53" t="inlineStr">
        <is>
          <t>FX Interpretation</t>
        </is>
      </c>
    </row>
    <row r="40">
      <c r="A40" s="52" t="inlineStr">
        <is>
          <t>'- FX: Top movers (abs daily %): USDJPY -1.06%, AUDUSD +0.88%, USDNOK -0.66%.</t>
        </is>
      </c>
    </row>
    <row r="41">
      <c r="A41" s="52" t="inlineStr">
        <is>
          <t>'- FX: Broad USD tone is softer (more USD-down pairs).</t>
        </is>
      </c>
    </row>
    <row r="42"/>
    <row r="43"/>
    <row r="44">
      <c r="A44" s="53" t="inlineStr">
        <is>
          <t>Macro Calendar / Event Risk</t>
        </is>
      </c>
    </row>
    <row r="45">
      <c r="A45" s="52" t="inlineStr">
        <is>
          <t>'- No active events (importance-filtered) for today.</t>
        </is>
      </c>
    </row>
    <row r="46">
      <c r="A46" s="38" t="n"/>
    </row>
    <row r="47">
      <c r="A47" s="38" t="n"/>
    </row>
    <row r="48">
      <c r="A48" s="53" t="inlineStr">
        <is>
          <t>Headlines</t>
        </is>
      </c>
    </row>
    <row r="49">
      <c r="A49" s="52" t="inlineStr">
        <is>
          <t>'- [Markets] Erratic US is spurring 'middle powers' into action and investors are noticing - Reuters (Reuters)</t>
        </is>
      </c>
    </row>
    <row r="50">
      <c r="A50" s="53" t="inlineStr">
        <is>
          <t>'- [Markets] Gold eases as strong US jobs data dims Fed rate‑cut hopes - Reuters (Reuters)</t>
        </is>
      </c>
    </row>
    <row r="51">
      <c r="A51" s="52" t="inlineStr">
        <is>
          <t>'- [Markets] Why Japan's emboldened PM won't toy with risks of a weak yen - Reuters (Reuters)</t>
        </is>
      </c>
    </row>
    <row r="52">
      <c r="A52" s="52" t="inlineStr">
        <is>
          <t>'- [Markets] US jobs beat for January affirms steady Fed view - Reuters (Reuters)</t>
        </is>
      </c>
    </row>
    <row r="53">
      <c r="A53" s="60" t="inlineStr">
        <is>
          <t>'- [Markets] Fed to hold rates through May, but Warsh may be too loose with policy, economists say - Reuters (Reuters)</t>
        </is>
      </c>
    </row>
    <row r="54">
      <c r="A54" s="52" t="inlineStr">
        <is>
          <t>'- [Markets] Wall Street ends muted after strong jobs data nibbles at Fed rate cut bets - Reuters (Reuters)</t>
        </is>
      </c>
    </row>
    <row r="55">
      <c r="A55" s="52" t="inlineStr">
        <is>
          <t>'- [Markets] US turns multilateral in search of critical mineral security - Reuters (Reuters)</t>
        </is>
      </c>
    </row>
    <row r="56">
      <c r="A56" s="52" t="inlineStr">
        <is>
          <t>'- [Markets] Stocks mixed but world index hits record high; Treasury yields fall - Reuters (Reuters)</t>
        </is>
      </c>
    </row>
    <row r="57">
      <c r="A57" s="38" t="n"/>
    </row>
    <row r="58">
      <c r="A58" s="38" t="n"/>
    </row>
    <row r="59">
      <c r="A59" s="53" t="inlineStr">
        <is>
          <t>What changed vs yesterday</t>
        </is>
      </c>
    </row>
    <row r="60">
      <c r="A60" s="52" t="inlineStr">
        <is>
          <t>'- Macro events (active): 3 (yday 3, Δ 0)</t>
        </is>
      </c>
    </row>
    <row r="61">
      <c r="A61" s="53" t="inlineStr">
        <is>
          <t>'- US rates regime: US_RATES_REGIME: US_NORMAL_STABLE_MIXED (streak 22d)</t>
        </is>
      </c>
    </row>
    <row r="62">
      <c r="A62" s="52" t="inlineStr">
        <is>
          <t>'- CA rates regime: CA_RATES_REGIME: CA_NORMAL_STABLE_MIXED (streak 22d)</t>
        </is>
      </c>
    </row>
    <row r="63">
      <c r="A63" s="52" t="inlineStr">
        <is>
          <t>'- FX top movers changed vs yesterday.</t>
        </is>
      </c>
    </row>
    <row r="64">
      <c r="A64" s="46" t="n"/>
    </row>
    <row r="65">
      <c r="A65" s="53" t="inlineStr">
        <is>
          <t>Predictive Outlook</t>
        </is>
      </c>
    </row>
    <row r="66">
      <c r="A66" s="52" t="inlineStr">
        <is>
          <t>'- Event severity: low (score 1).</t>
        </is>
      </c>
    </row>
    <row r="67">
      <c r="A67" s="53" t="inlineStr">
        <is>
          <t>'- Rates vol risk: US medium, CA low; FX max high.</t>
        </is>
      </c>
    </row>
    <row r="68">
      <c r="A68" s="52" t="inlineStr">
        <is>
          <t>'- Regime persistence is probability-weighted and confidence-labeled.</t>
        </is>
      </c>
    </row>
    <row r="69">
      <c r="A69" s="52" t="inlineStr">
        <is>
          <t>'- Regime stats: US z=0.65 (Δz=-0.09), vol=LOW, persistence=1.00 (conf=HIGH).</t>
        </is>
      </c>
    </row>
    <row r="70">
      <c r="A70" s="61" t="inlineStr">
        <is>
          <t>'- Regime stats: CA z=-0.27 (Δz=-0.80), vol=LOW, persistence=1.00 (conf=HIGH).</t>
        </is>
      </c>
    </row>
    <row r="71">
      <c r="A71" s="38" t="n"/>
    </row>
    <row r="72">
      <c r="A72" s="53" t="inlineStr">
        <is>
          <t>Rates DV01</t>
        </is>
      </c>
    </row>
    <row r="73">
      <c r="A73" s="52" t="inlineStr">
        <is>
          <t>'- Net DV01: -1480 $/bp; Stress (2bp): ~$5,980.</t>
        </is>
      </c>
    </row>
    <row r="74">
      <c r="A74" s="53" t="inlineStr">
        <is>
          <t>'- Front-end concentration: 0.02.</t>
        </is>
      </c>
    </row>
    <row r="75">
      <c r="A75" s="52" t="inlineStr">
        <is>
          <t>'- Flow tape: 40 tickets; hedged 16 times; peak DV01 2990.</t>
        </is>
      </c>
    </row>
    <row r="76">
      <c r="A76" s="61" t="inlineStr">
        <is>
          <t>'- Event severity: low.</t>
        </is>
      </c>
    </row>
    <row r="77">
      <c r="A77" s="38" t="n"/>
    </row>
    <row r="78">
      <c r="A78" s="53" t="inlineStr">
        <is>
          <t>FX MM Simulation</t>
        </is>
      </c>
    </row>
    <row r="79">
      <c r="A79" s="52" t="inlineStr">
        <is>
          <t>'- USDCAD: Asia/London/NY sessions active; event window=not active.</t>
        </is>
      </c>
    </row>
    <row r="80">
      <c r="A80" s="53" t="inlineStr">
        <is>
          <t>'- Hedges by session: Asia 0, London 6, NY 1.</t>
        </is>
      </c>
    </row>
    <row r="81">
      <c r="A81" s="52" t="inlineStr">
        <is>
          <t>'- Inventory end=3; liquidity=high.</t>
        </is>
      </c>
    </row>
    <row r="82">
      <c r="A82" s="52" t="inlineStr">
        <is>
          <t>'- Deterministic (date+pair|fx_mm) seed.</t>
        </is>
      </c>
    </row>
    <row r="83">
      <c r="A83" s="52" t="inlineStr">
        <is>
          <t>'- Average spread: 1.4 pips (0.00014); No inventory breach.</t>
        </is>
      </c>
    </row>
    <row r="84">
      <c r="A84" s="61" t="inlineStr">
        <is>
          <t>'- Event window impact: pnl 0.0, max inv 0.</t>
        </is>
      </c>
    </row>
    <row r="85">
      <c r="A85" s="38" t="n"/>
    </row>
    <row r="86">
      <c r="A86" s="53" t="inlineStr">
        <is>
          <t>'=== Morning Note (Auto) ===</t>
        </is>
      </c>
    </row>
    <row r="87">
      <c r="A87" s="52" t="inlineStr">
        <is>
          <t>Risk State:</t>
        </is>
      </c>
    </row>
    <row r="88">
      <c r="A88" s="53" t="inlineStr">
        <is>
          <t>'- Event severity: Low (score=1) - Overall event severity is low.</t>
        </is>
      </c>
    </row>
    <row r="89">
      <c r="A89" s="52" t="inlineStr">
        <is>
          <t>'- Vol regime: Rates US medium / CA low; FX high</t>
        </is>
      </c>
    </row>
    <row r="90">
      <c r="A90" s="52" t="inlineStr">
        <is>
          <t>'- Regime persistence: US 1.00; CA 1.00</t>
        </is>
      </c>
    </row>
    <row r="91">
      <c r="A91" s="52" t="inlineStr">
        <is>
          <t>Rates:</t>
        </is>
      </c>
    </row>
    <row r="92">
      <c r="A92" s="52" t="inlineStr">
        <is>
          <t>'- Net DV01: -1480 $/bp; Stress (2bp): ~$5,980</t>
        </is>
      </c>
    </row>
    <row r="93">
      <c r="A93" s="52" t="inlineStr">
        <is>
          <t>'- Front-end concentration: 0.02</t>
        </is>
      </c>
    </row>
    <row r="94">
      <c r="A94" s="52" t="inlineStr">
        <is>
          <t>'- Key triggers: front-end repricing beyond threshold; surprise vs consensus</t>
        </is>
      </c>
    </row>
    <row r="95">
      <c r="A95" s="52" t="inlineStr">
        <is>
          <t>FX / Liquidity:</t>
        </is>
      </c>
    </row>
    <row r="96">
      <c r="A96" s="52" t="inlineStr">
        <is>
          <t>'- Top movers: 'USDJPY -1.06%, AUDUSD +0.88%, USDNOK -0.66%.</t>
        </is>
      </c>
    </row>
    <row r="97">
      <c r="A97" s="52" t="inlineStr">
        <is>
          <t>'- MM sim (USDCAD): vol=high; hedges=7; liquidity=HIGH</t>
        </is>
      </c>
    </row>
    <row r="98">
      <c r="A98" s="52" t="inlineStr">
        <is>
          <t>'- Deterministic (date+pair) seed</t>
        </is>
      </c>
    </row>
    <row r="99">
      <c r="A99" s="52" t="inlineStr">
        <is>
          <t>'- Average spread: 1.4 pips (0.00014); No inventory breach</t>
        </is>
      </c>
    </row>
    <row r="100">
      <c r="A100" s="52" t="inlineStr">
        <is>
          <t>Calendar:</t>
        </is>
      </c>
    </row>
    <row r="101">
      <c r="A101" s="52" t="inlineStr">
        <is>
          <t>'- Overall event severity is low.</t>
        </is>
      </c>
    </row>
    <row r="102">
      <c r="A102" s="52" t="inlineStr">
        <is>
          <t>'- Top macro releases should be treated as volatility catalysts rather than directional forecasts.</t>
        </is>
      </c>
    </row>
    <row r="103">
      <c r="A103" s="52" t="inlineStr">
        <is>
          <t>'- Execution timing should avoid clustered releases where possible.</t>
        </is>
      </c>
    </row>
    <row r="104">
      <c r="A104" s="52" t="inlineStr">
        <is>
          <t>Headlines (top 5):</t>
        </is>
      </c>
    </row>
    <row r="105">
      <c r="A105" s="52" t="inlineStr">
        <is>
          <t>'- Erratic US is spurring 'middle powers' into action and investors are noticing - Reuters</t>
        </is>
      </c>
    </row>
    <row r="106">
      <c r="A106" s="52" t="inlineStr">
        <is>
          <t>'- Gold eases as strong US jobs data dims Fed rate‑cut hopes - Reuters</t>
        </is>
      </c>
    </row>
    <row r="107">
      <c r="A107" s="52" t="inlineStr">
        <is>
          <t>'- Why Japan's emboldened PM won't toy with risks of a weak yen - Reuters</t>
        </is>
      </c>
    </row>
    <row r="108">
      <c r="A108" s="52" t="inlineStr">
        <is>
          <t>'- US jobs beat for January affirms steady Fed view - Reuters</t>
        </is>
      </c>
    </row>
    <row r="109">
      <c r="A109" s="52" t="inlineStr">
        <is>
          <t>'- Fed to hold rates through May, but Warsh may be too loose with policy, economists say - Reuters</t>
        </is>
      </c>
    </row>
    <row r="110">
      <c r="A110" s="52" t="inlineStr">
        <is>
          <t>Trade Ideas:</t>
        </is>
      </c>
    </row>
    <row r="111">
      <c r="A111" s="52" t="inlineStr">
        <is>
          <t>'- NO TRADE (risk high). Watchlist only.</t>
        </is>
      </c>
    </row>
    <row r="112">
      <c r="A112" s="52" t="inlineStr">
        <is>
          <t>Flows &amp; Microstructure:</t>
        </is>
      </c>
    </row>
    <row r="113">
      <c r="A113" s="52" t="inlineStr">
        <is>
          <t>'- FX flows: Asia hedges 0, London hedges 6, NY hedges 1; spreads (pips) A/L/NY=1.4 pips/1.0 pips/1.2 pips.</t>
        </is>
      </c>
    </row>
    <row r="114">
      <c r="A114" s="52" t="inlineStr">
        <is>
          <t>'- Event window not triggered; session conditions remained baseline.</t>
        </is>
      </c>
    </row>
    <row r="115">
      <c r="A115" s="52" t="inlineStr">
        <is>
          <t>'- Rates flows: front-end share 0.57; hedged 16 times; peak DV01 2990.</t>
        </is>
      </c>
    </row>
    <row r="116">
      <c r="A116" s="38" t="n"/>
    </row>
    <row r="117">
      <c r="A117" s="38" t="n"/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4"/>
  <sheetViews>
    <sheetView tabSelected="1" workbookViewId="0">
      <selection activeCell="A5" sqref="A5"/>
    </sheetView>
  </sheetViews>
  <sheetFormatPr baseColWidth="8" defaultRowHeight="15" outlineLevelCol="0"/>
  <cols>
    <col width="10.42578125" bestFit="1" customWidth="1" min="1" max="1"/>
    <col width="7" bestFit="1" customWidth="1" min="2" max="2"/>
    <col width="22.42578125" bestFit="1" customWidth="1" min="3" max="3"/>
    <col width="18.85546875" bestFit="1" customWidth="1" min="5" max="5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Event</t>
        </is>
      </c>
      <c r="D1" t="inlineStr">
        <is>
          <t>Time</t>
        </is>
      </c>
      <c r="E1" t="inlineStr">
        <is>
          <t>Risk</t>
        </is>
      </c>
      <c r="F1" t="inlineStr">
        <is>
          <t>Active</t>
        </is>
      </c>
      <c r="G1" t="inlineStr">
        <is>
          <t>Importance</t>
        </is>
      </c>
      <c r="H1" t="inlineStr">
        <is>
          <t>Expected</t>
        </is>
      </c>
      <c r="I1" t="inlineStr">
        <is>
          <t>Actual</t>
        </is>
      </c>
      <c r="J1" t="inlineStr">
        <is>
          <t>Prior</t>
        </is>
      </c>
      <c r="K1" t="inlineStr">
        <is>
          <t>Unit</t>
        </is>
      </c>
      <c r="L1" t="inlineStr">
        <is>
          <t>Surprise</t>
        </is>
      </c>
      <c r="M1" s="3" t="inlineStr">
        <is>
          <t>Min Importance</t>
        </is>
      </c>
      <c r="N1" s="3" t="n">
        <v>2</v>
      </c>
    </row>
    <row r="2">
      <c r="A2" s="4" t="n">
        <v>46064</v>
      </c>
      <c r="B2" t="inlineStr">
        <is>
          <t>US</t>
        </is>
      </c>
      <c r="C2" t="inlineStr">
        <is>
          <t>Average Hourly Earnings</t>
        </is>
      </c>
      <c r="D2" s="1" t="n">
        <v>0.3541666666666667</v>
      </c>
      <c r="E2" t="inlineStr">
        <is>
          <t>USD, front end rates</t>
        </is>
      </c>
      <c r="F2">
        <f>TRUE</f>
        <v/>
      </c>
      <c r="G2" t="n">
        <v>3</v>
      </c>
      <c r="H2" t="n">
        <v>0.3</v>
      </c>
      <c r="I2" t="n">
        <v>0.4</v>
      </c>
      <c r="J2" t="n">
        <v>0.1</v>
      </c>
      <c r="K2" t="inlineStr">
        <is>
          <t>%</t>
        </is>
      </c>
    </row>
    <row r="3">
      <c r="A3" s="4" t="n">
        <v>46064</v>
      </c>
      <c r="B3" t="inlineStr">
        <is>
          <t>US</t>
        </is>
      </c>
      <c r="C3" t="inlineStr">
        <is>
          <t>Non-Farm Employment Change</t>
        </is>
      </c>
      <c r="D3" s="1" t="n">
        <v>0.3541666666666667</v>
      </c>
      <c r="E3" t="inlineStr">
        <is>
          <t>USD, front end rates</t>
        </is>
      </c>
      <c r="F3">
        <f>TRUE</f>
        <v/>
      </c>
      <c r="G3" t="n">
        <v>3</v>
      </c>
      <c r="H3" s="9" t="n">
        <v>66000</v>
      </c>
      <c r="I3" t="n">
        <v>130000</v>
      </c>
      <c r="J3" s="9" t="n">
        <v>48000</v>
      </c>
    </row>
    <row r="4">
      <c r="A4" s="4" t="n">
        <v>46064</v>
      </c>
      <c r="B4" t="inlineStr">
        <is>
          <t>JP</t>
        </is>
      </c>
      <c r="C4" t="inlineStr">
        <is>
          <t>Unemployment rate</t>
        </is>
      </c>
      <c r="D4" s="1" t="n">
        <v>0.3541666666666667</v>
      </c>
      <c r="E4" t="inlineStr">
        <is>
          <t>USD, front end rates</t>
        </is>
      </c>
      <c r="F4" t="b">
        <v>1</v>
      </c>
      <c r="G4" t="n">
        <v>3</v>
      </c>
      <c r="H4" t="n">
        <v>4.4</v>
      </c>
      <c r="I4" t="n">
        <v>4.3</v>
      </c>
      <c r="J4" t="n">
        <v>4.4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Q25" sqref="Q25"/>
    </sheetView>
  </sheetViews>
  <sheetFormatPr baseColWidth="8" defaultRowHeight="15"/>
  <sheetData>
    <row r="1">
      <c r="A1" t="inlineStr">
        <is>
          <t>Source</t>
        </is>
      </c>
      <c r="B1" t="inlineStr">
        <is>
          <t>URL</t>
        </is>
      </c>
      <c r="C1" t="inlineStr">
        <is>
          <t>Category</t>
        </is>
      </c>
      <c r="D1" t="inlineStr">
        <is>
          <t>Active</t>
        </is>
      </c>
    </row>
    <row r="2">
      <c r="A2" t="inlineStr">
        <is>
          <t>Reuters</t>
        </is>
      </c>
      <c r="B2" t="inlineStr">
        <is>
          <t>https://news.google.com/rss/search?q=site:reuters.com+(Fed+OR+BOC+OR+BOJ+OR+rates+OR+macroeconomics+OR+markets)+(US+OR+Canada+OR+Japan+OR+Europe+OR+UK)&amp;hl=en-US&amp;gl=US&amp;ceid=US:en</t>
        </is>
      </c>
      <c r="C2" t="inlineStr">
        <is>
          <t>Markets</t>
        </is>
      </c>
      <c r="D2">
        <f>TRUE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2026-02-12T14:38:07Z</dcterms:modified>
  <cp:lastModifiedBy>Zuriel Samdi</cp:lastModifiedBy>
</cp:coreProperties>
</file>